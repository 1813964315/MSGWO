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esktop\V1\V1\MSGWO\MSGWO\"/>
    </mc:Choice>
  </mc:AlternateContent>
  <xr:revisionPtr revIDLastSave="0" documentId="13_ncr:1_{B7E00626-0F3C-4120-9301-B57CF4575233}" xr6:coauthVersionLast="47" xr6:coauthVersionMax="47" xr10:uidLastSave="{00000000-0000-0000-0000-000000000000}"/>
  <bookViews>
    <workbookView xWindow="3060" yWindow="760" windowWidth="16140" windowHeight="8290" activeTab="2" xr2:uid="{00000000-000D-0000-FFFF-FFFF00000000}"/>
  </bookViews>
  <sheets>
    <sheet name="Sheet1" sheetId="1" r:id="rId1"/>
    <sheet name="充电站选址结果" sheetId="2" r:id="rId2"/>
    <sheet name="对比实验" sheetId="8" r:id="rId3"/>
    <sheet name="参数实验" sheetId="4" r:id="rId4"/>
    <sheet name="消融实验" sheetId="3" r:id="rId5"/>
    <sheet name="不同策略" sheetId="10" r:id="rId6"/>
    <sheet name="30run" sheetId="9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" i="8" l="1"/>
  <c r="O17" i="8"/>
  <c r="I17" i="8"/>
  <c r="R16" i="8"/>
  <c r="O16" i="8"/>
  <c r="R15" i="8"/>
  <c r="R14" i="8"/>
  <c r="O15" i="8"/>
  <c r="O14" i="8"/>
  <c r="R13" i="8"/>
  <c r="R12" i="8"/>
  <c r="R11" i="8"/>
  <c r="R10" i="8"/>
  <c r="R9" i="8"/>
  <c r="R8" i="8"/>
  <c r="R7" i="8"/>
  <c r="R6" i="8"/>
  <c r="R5" i="8"/>
  <c r="R4" i="8"/>
  <c r="R3" i="8"/>
  <c r="O13" i="8"/>
  <c r="O12" i="8"/>
  <c r="O11" i="8"/>
  <c r="O10" i="8"/>
  <c r="O9" i="8"/>
  <c r="O8" i="8"/>
  <c r="O7" i="8"/>
  <c r="O6" i="8"/>
  <c r="O5" i="8"/>
  <c r="O4" i="8"/>
  <c r="O3" i="8"/>
  <c r="L3" i="8"/>
  <c r="L7" i="10"/>
  <c r="L8" i="10"/>
  <c r="L6" i="10"/>
  <c r="I7" i="10"/>
  <c r="I8" i="10"/>
  <c r="I6" i="10"/>
  <c r="F7" i="10"/>
  <c r="F8" i="10"/>
  <c r="F6" i="10"/>
  <c r="C7" i="10"/>
  <c r="C8" i="10"/>
  <c r="C6" i="10"/>
  <c r="D3" i="3"/>
  <c r="D4" i="3"/>
  <c r="D5" i="3"/>
  <c r="D6" i="3"/>
  <c r="M6" i="3"/>
  <c r="J6" i="3"/>
  <c r="G6" i="3"/>
  <c r="M5" i="3"/>
  <c r="J5" i="3"/>
  <c r="G5" i="3"/>
  <c r="M4" i="3"/>
  <c r="J4" i="3"/>
  <c r="G4" i="3"/>
  <c r="M3" i="3"/>
  <c r="J3" i="3"/>
  <c r="G3" i="3"/>
  <c r="J3" i="9"/>
  <c r="J4" i="9"/>
  <c r="J5" i="9"/>
  <c r="J6" i="9"/>
  <c r="L13" i="8"/>
  <c r="R34" i="8"/>
  <c r="M34" i="8"/>
  <c r="F13" i="8"/>
  <c r="C13" i="8"/>
  <c r="I13" i="8"/>
  <c r="I12" i="8"/>
  <c r="H34" i="8"/>
  <c r="D34" i="8"/>
  <c r="C34" i="8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3" i="1"/>
  <c r="L12" i="8"/>
  <c r="L11" i="8"/>
  <c r="L10" i="8"/>
  <c r="L9" i="8"/>
  <c r="L8" i="8"/>
  <c r="L7" i="8"/>
  <c r="L6" i="8"/>
  <c r="L5" i="8"/>
  <c r="L4" i="8"/>
  <c r="R33" i="8"/>
  <c r="M33" i="8"/>
  <c r="H33" i="8"/>
  <c r="C33" i="8"/>
  <c r="R32" i="8"/>
  <c r="M32" i="8"/>
  <c r="H32" i="8"/>
  <c r="C32" i="8"/>
  <c r="R31" i="8"/>
  <c r="M31" i="8"/>
  <c r="H31" i="8"/>
  <c r="C31" i="8"/>
  <c r="R30" i="8"/>
  <c r="M30" i="8"/>
  <c r="H30" i="8"/>
  <c r="C30" i="8"/>
  <c r="R29" i="8"/>
  <c r="M29" i="8"/>
  <c r="H29" i="8"/>
  <c r="C29" i="8"/>
  <c r="R28" i="8"/>
  <c r="M28" i="8"/>
  <c r="H28" i="8"/>
  <c r="C28" i="8"/>
  <c r="R27" i="8"/>
  <c r="M27" i="8"/>
  <c r="H27" i="8"/>
  <c r="C27" i="8"/>
  <c r="R26" i="8"/>
  <c r="M26" i="8"/>
  <c r="H26" i="8"/>
  <c r="C26" i="8"/>
  <c r="R25" i="8"/>
  <c r="M25" i="8"/>
  <c r="H25" i="8"/>
  <c r="C25" i="8"/>
  <c r="R24" i="8"/>
  <c r="M24" i="8"/>
  <c r="H24" i="8"/>
  <c r="C24" i="8"/>
  <c r="I11" i="8"/>
  <c r="I10" i="8"/>
  <c r="I9" i="8"/>
  <c r="I8" i="8"/>
  <c r="I7" i="8"/>
  <c r="I6" i="8"/>
  <c r="I5" i="8"/>
  <c r="I4" i="8"/>
  <c r="I3" i="8"/>
  <c r="F11" i="8"/>
  <c r="F10" i="8"/>
  <c r="F9" i="8"/>
  <c r="F8" i="8"/>
  <c r="F7" i="8"/>
  <c r="F6" i="8"/>
  <c r="F5" i="8"/>
  <c r="F4" i="8"/>
  <c r="F3" i="8"/>
  <c r="F12" i="8"/>
  <c r="C12" i="8"/>
  <c r="C11" i="8"/>
  <c r="C10" i="8"/>
  <c r="C9" i="8"/>
  <c r="C8" i="8"/>
  <c r="C7" i="8"/>
  <c r="C6" i="8"/>
  <c r="C5" i="8"/>
  <c r="C4" i="8"/>
  <c r="C3" i="8"/>
</calcChain>
</file>

<file path=xl/sharedStrings.xml><?xml version="1.0" encoding="utf-8"?>
<sst xmlns="http://schemas.openxmlformats.org/spreadsheetml/2006/main" count="240" uniqueCount="87">
  <si>
    <t>AVE</t>
    <phoneticPr fontId="1" type="noConversion"/>
  </si>
  <si>
    <t>STD</t>
    <phoneticPr fontId="1" type="noConversion"/>
  </si>
  <si>
    <t>WOA</t>
    <phoneticPr fontId="1" type="noConversion"/>
  </si>
  <si>
    <t>PSO</t>
    <phoneticPr fontId="1" type="noConversion"/>
  </si>
  <si>
    <t>GWO</t>
    <phoneticPr fontId="1" type="noConversion"/>
  </si>
  <si>
    <t>HO</t>
    <phoneticPr fontId="1" type="noConversion"/>
  </si>
  <si>
    <t>BSLO</t>
    <phoneticPr fontId="1" type="noConversion"/>
  </si>
  <si>
    <t>RBMO</t>
    <phoneticPr fontId="1" type="noConversion"/>
  </si>
  <si>
    <t>APO</t>
    <phoneticPr fontId="1" type="noConversion"/>
  </si>
  <si>
    <t>IVY</t>
    <phoneticPr fontId="1" type="noConversion"/>
  </si>
  <si>
    <t>GA</t>
    <phoneticPr fontId="1" type="noConversion"/>
  </si>
  <si>
    <t>MSGWO</t>
    <phoneticPr fontId="1" type="noConversion"/>
  </si>
  <si>
    <t>BKA</t>
    <phoneticPr fontId="1" type="noConversion"/>
  </si>
  <si>
    <t>F1</t>
    <phoneticPr fontId="1" type="noConversion"/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</si>
  <si>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</si>
  <si>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</si>
  <si>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</si>
  <si>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</si>
  <si>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</si>
  <si>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</si>
  <si>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</si>
  <si>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</si>
  <si>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</si>
  <si>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</si>
  <si>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</si>
  <si>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</si>
  <si>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</si>
  <si>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</si>
  <si>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</si>
  <si>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</si>
  <si>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</si>
  <si>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</si>
  <si>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</si>
  <si>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</si>
  <si>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</si>
  <si>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</si>
  <si>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</si>
  <si>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</si>
  <si>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</si>
  <si>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</si>
  <si>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</si>
  <si>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</si>
  <si>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</t>
    <phoneticPr fontId="1" type="noConversion"/>
  </si>
  <si>
    <t>GAP</t>
    <phoneticPr fontId="1" type="noConversion"/>
  </si>
  <si>
    <t>Positions</t>
    <phoneticPr fontId="1" type="noConversion"/>
  </si>
  <si>
    <t>Capacity</t>
    <phoneticPr fontId="1" type="noConversion"/>
  </si>
  <si>
    <t>CPS01</t>
    <phoneticPr fontId="1" type="noConversion"/>
  </si>
  <si>
    <t>CPS02</t>
    <phoneticPr fontId="1" type="noConversion"/>
  </si>
  <si>
    <t>CPS03</t>
  </si>
  <si>
    <t>CPS04</t>
  </si>
  <si>
    <t>CPS02</t>
  </si>
  <si>
    <t>Times</t>
    <phoneticPr fontId="1" type="noConversion"/>
  </si>
  <si>
    <t xml:space="preserve"> </t>
    <phoneticPr fontId="1" type="noConversion"/>
  </si>
  <si>
    <t>CPS03</t>
    <phoneticPr fontId="1" type="noConversion"/>
  </si>
  <si>
    <t>CPS04</t>
    <phoneticPr fontId="1" type="noConversion"/>
  </si>
  <si>
    <t>POP</t>
    <phoneticPr fontId="1" type="noConversion"/>
  </si>
  <si>
    <t xml:space="preserve">T </t>
    <phoneticPr fontId="1" type="noConversion"/>
  </si>
  <si>
    <t>MAX_D</t>
    <phoneticPr fontId="1" type="noConversion"/>
  </si>
  <si>
    <t>[17, 12, 27, 0, 5, 4, 7, 28, 13, 1]</t>
  </si>
  <si>
    <t>[196.17 118.01 158.81  84.12 143.29  111.81  63.92   67.01  152.78 178.78]</t>
    <phoneticPr fontId="1" type="noConversion"/>
  </si>
  <si>
    <t>[ 71.12 143.81  27.45  61.41 132.37]</t>
    <phoneticPr fontId="1" type="noConversion"/>
  </si>
  <si>
    <t>[22, 24, 34, 33, 4]</t>
  </si>
  <si>
    <t>[23, 37, 18, 26, 29, 28, 36, 1]</t>
  </si>
  <si>
    <t>[141.81 120.31   85.08  91.71  85.67   92.85 114.58  75.98]</t>
    <phoneticPr fontId="1" type="noConversion"/>
  </si>
  <si>
    <t>[ 33.91  66.85824652  68.74 218.57  149.41   96.12]</t>
    <phoneticPr fontId="1" type="noConversion"/>
  </si>
  <si>
    <t>[8, 11, 12, 4, 28, 36]</t>
  </si>
  <si>
    <t>D</t>
    <phoneticPr fontId="1" type="noConversion"/>
  </si>
  <si>
    <t>Func</t>
    <phoneticPr fontId="1" type="noConversion"/>
  </si>
  <si>
    <t>SA</t>
    <phoneticPr fontId="1" type="noConversion"/>
  </si>
  <si>
    <t>Mean</t>
    <phoneticPr fontId="1" type="noConversion"/>
  </si>
  <si>
    <t>Std</t>
    <phoneticPr fontId="1" type="noConversion"/>
  </si>
  <si>
    <t>Max</t>
    <phoneticPr fontId="1" type="noConversion"/>
  </si>
  <si>
    <t>Min</t>
    <phoneticPr fontId="1" type="noConversion"/>
  </si>
  <si>
    <t>MSGWO1</t>
    <phoneticPr fontId="1" type="noConversion"/>
  </si>
  <si>
    <t>A_D</t>
    <phoneticPr fontId="1" type="noConversion"/>
  </si>
  <si>
    <t>MSGWO2</t>
    <phoneticPr fontId="1" type="noConversion"/>
  </si>
  <si>
    <t>PGWO</t>
    <phoneticPr fontId="1" type="noConversion"/>
  </si>
  <si>
    <t>EGWO</t>
    <phoneticPr fontId="1" type="noConversion"/>
  </si>
  <si>
    <t>yantianqu</t>
    <phoneticPr fontId="1" type="noConversion"/>
  </si>
  <si>
    <t>luohuqu</t>
    <phoneticPr fontId="1" type="noConversion"/>
  </si>
  <si>
    <t>PGWO</t>
  </si>
  <si>
    <t xml:space="preserve">949.92* </t>
  </si>
  <si>
    <t>EGWO</t>
  </si>
  <si>
    <t>OR-Tools</t>
  </si>
  <si>
    <t>HIGHS</t>
    <phoneticPr fontId="1" type="noConversion"/>
  </si>
  <si>
    <t>A_D</t>
  </si>
  <si>
    <t>HiGHS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</si>
</sst>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.000_ "/>
    <numFmt numFmtId="178" formatCode="0.000_);[Red]\(0.000\)"/>
  </numFmts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宋体"/>
      <family val="2"/>
      <scheme val="minor"/>
    </font>
    <font>
      <sz val="6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>
      <alignment vertical="center"/>
    </xf>
  </cellStyleXfs>
  <cellXfs count="35">
    <xf numFmtId="0" fontId="0" fillId="0" borderId="0" xfId="0"/>
    <xf numFmtId="1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1" fontId="2" fillId="0" borderId="0" xfId="0" applyNumberFormat="1" applyFont="1"/>
    <xf numFmtId="11" fontId="3" fillId="0" borderId="0" xfId="0" applyNumberFormat="1" applyFont="1"/>
    <xf numFmtId="0" fontId="2" fillId="0" borderId="0" xfId="0" applyFont="1"/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2" fillId="0" borderId="0" xfId="1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178" fontId="8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0" fontId="8" fillId="0" borderId="0" xfId="1" applyNumberFormat="1" applyFont="1" applyAlignment="1">
      <alignment horizontal="center" vertical="center"/>
    </xf>
    <xf numFmtId="10" fontId="9" fillId="0" borderId="0" xfId="1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6" fontId="10" fillId="0" borderId="0" xfId="0" applyNumberFormat="1" applyFont="1" applyAlignment="1">
      <alignment horizontal="center" vertical="center"/>
    </xf>
    <xf numFmtId="11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2"/>
  <sheetViews>
    <sheetView topLeftCell="A76" zoomScale="56" zoomScaleNormal="40" workbookViewId="0">
      <selection activeCell="O1" sqref="O1:Z1"/>
    </sheetView>
  </sheetViews>
  <sheetFormatPr defaultRowHeight="14" x14ac:dyDescent="0.3"/>
  <cols>
    <col min="1" max="1" width="8.7265625" style="3"/>
    <col min="2" max="2" width="9.36328125" style="2" bestFit="1" customWidth="1"/>
    <col min="3" max="10" width="9.453125" style="3" bestFit="1" customWidth="1"/>
    <col min="11" max="11" width="9.54296875" style="3" bestFit="1" customWidth="1"/>
    <col min="12" max="12" width="10.26953125" style="3" bestFit="1" customWidth="1"/>
    <col min="13" max="16" width="9.54296875" style="3" bestFit="1" customWidth="1"/>
    <col min="17" max="22" width="9.453125" style="3" bestFit="1" customWidth="1"/>
    <col min="23" max="23" width="10" style="3" bestFit="1" customWidth="1"/>
    <col min="24" max="24" width="9.453125" style="3" bestFit="1" customWidth="1"/>
    <col min="25" max="25" width="9.453125" style="3" customWidth="1"/>
    <col min="26" max="26" width="10.08984375" style="3" bestFit="1" customWidth="1"/>
    <col min="27" max="27" width="9.453125" style="3" bestFit="1" customWidth="1"/>
    <col min="28" max="29" width="10.26953125" style="3" bestFit="1" customWidth="1"/>
    <col min="30" max="16384" width="8.7265625" style="3"/>
  </cols>
  <sheetData>
    <row r="1" spans="1:29" s="1" customFormat="1" x14ac:dyDescent="0.3">
      <c r="A1" s="30" t="s">
        <v>67</v>
      </c>
      <c r="B1" s="31" t="s">
        <v>66</v>
      </c>
      <c r="C1" s="29" t="s">
        <v>2</v>
      </c>
      <c r="D1" s="29"/>
      <c r="E1" s="29" t="s">
        <v>3</v>
      </c>
      <c r="F1" s="29"/>
      <c r="G1" s="29" t="s">
        <v>4</v>
      </c>
      <c r="H1" s="29"/>
      <c r="I1" s="29" t="s">
        <v>5</v>
      </c>
      <c r="J1" s="29"/>
      <c r="K1" s="29" t="s">
        <v>6</v>
      </c>
      <c r="L1" s="29"/>
      <c r="M1" s="29" t="s">
        <v>7</v>
      </c>
      <c r="N1" s="29"/>
      <c r="O1" s="29" t="s">
        <v>8</v>
      </c>
      <c r="P1" s="29"/>
      <c r="Q1" s="29" t="s">
        <v>9</v>
      </c>
      <c r="R1" s="29"/>
      <c r="S1" s="29" t="s">
        <v>12</v>
      </c>
      <c r="T1" s="29"/>
      <c r="U1" s="29" t="s">
        <v>10</v>
      </c>
      <c r="V1" s="29"/>
      <c r="W1" s="29" t="s">
        <v>68</v>
      </c>
      <c r="X1" s="29"/>
      <c r="Y1" s="29" t="s">
        <v>11</v>
      </c>
      <c r="Z1" s="29"/>
    </row>
    <row r="2" spans="1:29" s="1" customFormat="1" x14ac:dyDescent="0.3">
      <c r="A2" s="30"/>
      <c r="B2" s="31"/>
      <c r="C2" s="1" t="s">
        <v>0</v>
      </c>
      <c r="D2" s="1" t="s">
        <v>1</v>
      </c>
      <c r="E2" s="1" t="s">
        <v>0</v>
      </c>
      <c r="F2" s="1" t="s">
        <v>1</v>
      </c>
      <c r="G2" s="1" t="s">
        <v>0</v>
      </c>
      <c r="H2" s="1" t="s">
        <v>1</v>
      </c>
      <c r="I2" s="1" t="s">
        <v>0</v>
      </c>
      <c r="J2" s="1" t="s">
        <v>1</v>
      </c>
      <c r="K2" s="1" t="s">
        <v>0</v>
      </c>
      <c r="L2" s="1" t="s">
        <v>1</v>
      </c>
      <c r="M2" s="1" t="s">
        <v>0</v>
      </c>
      <c r="N2" s="1" t="s">
        <v>1</v>
      </c>
      <c r="O2" s="1" t="s">
        <v>0</v>
      </c>
      <c r="P2" s="1" t="s">
        <v>1</v>
      </c>
      <c r="Q2" s="1" t="s">
        <v>0</v>
      </c>
      <c r="R2" s="1" t="s">
        <v>1</v>
      </c>
      <c r="S2" s="1" t="s">
        <v>0</v>
      </c>
      <c r="T2" s="1" t="s">
        <v>1</v>
      </c>
      <c r="U2" s="1" t="s">
        <v>0</v>
      </c>
      <c r="V2" s="1" t="s">
        <v>1</v>
      </c>
      <c r="W2" s="1" t="s">
        <v>0</v>
      </c>
      <c r="X2" s="1" t="s">
        <v>1</v>
      </c>
      <c r="Y2" s="1" t="s">
        <v>0</v>
      </c>
      <c r="Z2" s="1" t="s">
        <v>1</v>
      </c>
      <c r="AB2" s="1" t="s">
        <v>0</v>
      </c>
      <c r="AC2" s="1" t="s">
        <v>1</v>
      </c>
    </row>
    <row r="3" spans="1:29" x14ac:dyDescent="0.3">
      <c r="A3" s="30" t="s">
        <v>13</v>
      </c>
      <c r="B3" s="2">
        <v>30</v>
      </c>
      <c r="C3" s="3">
        <v>36679970758.738503</v>
      </c>
      <c r="D3" s="3">
        <v>6475191396.5684462</v>
      </c>
      <c r="E3" s="3">
        <v>33733768400.802608</v>
      </c>
      <c r="F3" s="3">
        <v>10197168587.696989</v>
      </c>
      <c r="G3" s="3">
        <v>50889604020.080231</v>
      </c>
      <c r="H3" s="3">
        <v>8609504813.2607937</v>
      </c>
      <c r="I3" s="3">
        <v>52737787193.196564</v>
      </c>
      <c r="J3" s="3">
        <v>9125030501.9578571</v>
      </c>
      <c r="K3" s="3">
        <v>39517932179.851402</v>
      </c>
      <c r="L3" s="3">
        <v>5262910757.4616795</v>
      </c>
      <c r="M3" s="3">
        <v>70697235078.182571</v>
      </c>
      <c r="N3" s="3">
        <v>10258584851.38423</v>
      </c>
      <c r="O3" s="3">
        <v>52041194837.980629</v>
      </c>
      <c r="P3" s="3">
        <v>8362515647.3705645</v>
      </c>
      <c r="Q3" s="3">
        <v>137704364474.95941</v>
      </c>
      <c r="R3" s="3">
        <v>17814403127.0215</v>
      </c>
      <c r="S3" s="3">
        <v>120571746933.1181</v>
      </c>
      <c r="T3" s="3">
        <v>16555012239.057751</v>
      </c>
      <c r="U3" s="3">
        <v>120548732702.45621</v>
      </c>
      <c r="V3" s="3">
        <v>16575968334.04855</v>
      </c>
      <c r="W3" s="1">
        <v>188233915277.71991</v>
      </c>
      <c r="X3" s="1">
        <v>56141908761.630852</v>
      </c>
      <c r="Y3" s="4">
        <v>19509874470.44413</v>
      </c>
      <c r="Z3" s="4">
        <v>3194421040.3471231</v>
      </c>
      <c r="AA3" s="4"/>
      <c r="AB3" s="3">
        <f>MIN(C3,E3,G3,I3,K3,M3,O3,Q3,S3,U3,Y3,W3)</f>
        <v>19509874470.44413</v>
      </c>
      <c r="AC3" s="3">
        <f>MIN(D3,F3,H3,J3,L3,N3,P3,R3,T3,V3,Z3,X3)</f>
        <v>3194421040.3471231</v>
      </c>
    </row>
    <row r="4" spans="1:29" x14ac:dyDescent="0.3">
      <c r="A4" s="30"/>
      <c r="B4" s="2">
        <v>50</v>
      </c>
      <c r="C4" s="3">
        <v>92853622184.547745</v>
      </c>
      <c r="D4" s="3">
        <v>11998135165.475361</v>
      </c>
      <c r="E4" s="3">
        <v>104011259020.86481</v>
      </c>
      <c r="F4" s="3">
        <v>23474250250.00531</v>
      </c>
      <c r="G4" s="3">
        <v>109899133759.68829</v>
      </c>
      <c r="H4" s="3">
        <v>8643004326.5006428</v>
      </c>
      <c r="I4" s="3">
        <v>171906722406.31039</v>
      </c>
      <c r="J4" s="3">
        <v>27038153574.395981</v>
      </c>
      <c r="K4" s="3">
        <v>80120590147.358627</v>
      </c>
      <c r="L4" s="3">
        <v>6964824638.7111816</v>
      </c>
      <c r="M4" s="3">
        <v>133026601838.5477</v>
      </c>
      <c r="N4" s="3">
        <v>14782090627.163361</v>
      </c>
      <c r="O4" s="3">
        <v>103346545346.93781</v>
      </c>
      <c r="P4" s="3">
        <v>8713041320.1748409</v>
      </c>
      <c r="Q4" s="3">
        <v>264125787521.7229</v>
      </c>
      <c r="R4" s="3">
        <v>24782348087.013618</v>
      </c>
      <c r="S4" s="3">
        <v>249232255879.24081</v>
      </c>
      <c r="T4" s="3">
        <v>26404957204.773201</v>
      </c>
      <c r="U4" s="3">
        <v>252056167224.6752</v>
      </c>
      <c r="V4" s="3">
        <v>28109521057.53764</v>
      </c>
      <c r="W4" s="3">
        <v>373688468903.95679</v>
      </c>
      <c r="X4" s="3">
        <v>63847779116.542053</v>
      </c>
      <c r="Y4" s="4">
        <v>56690174410.795578</v>
      </c>
      <c r="Z4" s="4">
        <v>4981411242.4151421</v>
      </c>
      <c r="AA4" s="4"/>
      <c r="AB4" s="3">
        <f t="shared" ref="AB4:AB62" si="0">MIN(C4,E4,G4,I4,K4,M4,O4,Q4,S4,U4,Y4,W4)</f>
        <v>56690174410.795578</v>
      </c>
      <c r="AC4" s="3">
        <f t="shared" ref="AC4:AC62" si="1">MIN(D4,F4,H4,J4,L4,N4,P4,R4,T4,V4,Z4,X4)</f>
        <v>4981411242.4151421</v>
      </c>
    </row>
    <row r="5" spans="1:29" x14ac:dyDescent="0.3">
      <c r="A5" s="30"/>
      <c r="B5" s="2">
        <v>100</v>
      </c>
      <c r="C5" s="3">
        <v>244578935329.4234</v>
      </c>
      <c r="D5" s="3">
        <v>14397573548.925449</v>
      </c>
      <c r="E5" s="3">
        <v>286154013486.0575</v>
      </c>
      <c r="F5" s="3">
        <v>57711026715.342117</v>
      </c>
      <c r="G5" s="3">
        <v>261920930404.5054</v>
      </c>
      <c r="H5" s="3">
        <v>14231635215.663321</v>
      </c>
      <c r="I5" s="3">
        <v>585525842714.00854</v>
      </c>
      <c r="J5" s="3">
        <v>42885569465.29882</v>
      </c>
      <c r="K5" s="3">
        <v>210656804912.43381</v>
      </c>
      <c r="L5" s="3">
        <v>17372003487.03727</v>
      </c>
      <c r="M5" s="3">
        <v>305981435325.73071</v>
      </c>
      <c r="N5" s="3">
        <v>23839119262.037441</v>
      </c>
      <c r="O5" s="3">
        <v>257790788666.44061</v>
      </c>
      <c r="P5" s="3">
        <v>14863999200.70853</v>
      </c>
      <c r="Q5" s="3">
        <v>626146212861.54736</v>
      </c>
      <c r="R5" s="3">
        <v>57688460501.678886</v>
      </c>
      <c r="S5" s="3">
        <v>620575924207.95386</v>
      </c>
      <c r="T5" s="3">
        <v>48029856234.938637</v>
      </c>
      <c r="U5" s="3">
        <v>609598287931.35437</v>
      </c>
      <c r="V5" s="3">
        <v>36751433455.736633</v>
      </c>
      <c r="W5" s="3">
        <v>767275454870.46606</v>
      </c>
      <c r="X5" s="3">
        <v>104648447027.9066</v>
      </c>
      <c r="Y5" s="4">
        <v>187045407302.45761</v>
      </c>
      <c r="Z5" s="4">
        <v>6440294629.3049984</v>
      </c>
      <c r="AA5" s="4"/>
      <c r="AB5" s="3">
        <f t="shared" si="0"/>
        <v>187045407302.45761</v>
      </c>
      <c r="AC5" s="3">
        <f t="shared" si="1"/>
        <v>6440294629.3049984</v>
      </c>
    </row>
    <row r="6" spans="1:29" x14ac:dyDescent="0.3">
      <c r="A6" s="30" t="s">
        <v>14</v>
      </c>
      <c r="B6" s="2">
        <v>30</v>
      </c>
      <c r="C6" s="3">
        <v>89794.38840152511</v>
      </c>
      <c r="D6" s="3">
        <v>16955.24214038402</v>
      </c>
      <c r="E6" s="3">
        <v>96552.603154671335</v>
      </c>
      <c r="F6" s="3">
        <v>19352.32720820043</v>
      </c>
      <c r="G6" s="3">
        <v>139650.35461048211</v>
      </c>
      <c r="H6" s="3">
        <v>30605.974093904049</v>
      </c>
      <c r="I6" s="3">
        <v>75289.302922387506</v>
      </c>
      <c r="J6" s="3">
        <v>23076.483145587819</v>
      </c>
      <c r="K6" s="3">
        <v>80779.110957606288</v>
      </c>
      <c r="L6" s="3">
        <v>7778.9407637008526</v>
      </c>
      <c r="M6" s="3">
        <v>155505.5387927077</v>
      </c>
      <c r="N6" s="3">
        <v>59677.919274279702</v>
      </c>
      <c r="O6" s="3">
        <v>87904.354511568701</v>
      </c>
      <c r="P6" s="3">
        <v>18655.523968316931</v>
      </c>
      <c r="Q6" s="3">
        <v>250419.9597038319</v>
      </c>
      <c r="R6" s="3">
        <v>63637.472998776582</v>
      </c>
      <c r="S6" s="3">
        <v>187283.5567790335</v>
      </c>
      <c r="T6" s="3">
        <v>31177.66552320807</v>
      </c>
      <c r="U6" s="3">
        <v>339472.95222338551</v>
      </c>
      <c r="V6" s="3">
        <v>289038.06359100301</v>
      </c>
      <c r="W6" s="3">
        <v>3016783005.8967381</v>
      </c>
      <c r="X6" s="3">
        <v>7629883365.762228</v>
      </c>
      <c r="Y6" s="4">
        <v>41011.563682189182</v>
      </c>
      <c r="Z6" s="4">
        <v>6889.4474572705458</v>
      </c>
      <c r="AA6" s="4"/>
      <c r="AB6" s="3">
        <f t="shared" si="0"/>
        <v>41011.563682189182</v>
      </c>
      <c r="AC6" s="3">
        <f t="shared" si="1"/>
        <v>6889.4474572705458</v>
      </c>
    </row>
    <row r="7" spans="1:29" x14ac:dyDescent="0.3">
      <c r="A7" s="30"/>
      <c r="B7" s="2">
        <v>50</v>
      </c>
      <c r="C7" s="3">
        <v>221848.74603804451</v>
      </c>
      <c r="D7" s="3">
        <v>53791.628562874088</v>
      </c>
      <c r="E7" s="3">
        <v>193996.63844933439</v>
      </c>
      <c r="F7" s="3">
        <v>24538.552951741269</v>
      </c>
      <c r="G7" s="3">
        <v>169757.45776058189</v>
      </c>
      <c r="H7" s="3">
        <v>16353.76430607574</v>
      </c>
      <c r="I7" s="3">
        <v>212759.57648713229</v>
      </c>
      <c r="J7" s="3">
        <v>35504.559922728462</v>
      </c>
      <c r="K7" s="3">
        <v>119610.1899269733</v>
      </c>
      <c r="L7" s="3">
        <v>12634.14510336507</v>
      </c>
      <c r="M7" s="3">
        <v>230918.88599949281</v>
      </c>
      <c r="N7" s="3">
        <v>105804.8301377149</v>
      </c>
      <c r="O7" s="3">
        <v>136761.75691899951</v>
      </c>
      <c r="P7" s="3">
        <v>14034.70332951954</v>
      </c>
      <c r="Q7" s="3">
        <v>417824.205056509</v>
      </c>
      <c r="R7" s="3">
        <v>87233.511787544267</v>
      </c>
      <c r="S7" s="3">
        <v>362025.69094042853</v>
      </c>
      <c r="T7" s="3">
        <v>45770.010348459073</v>
      </c>
      <c r="U7" s="3">
        <v>486346.77469374082</v>
      </c>
      <c r="V7" s="3">
        <v>165659.64460059849</v>
      </c>
      <c r="W7" s="3">
        <v>878066701.54297304</v>
      </c>
      <c r="X7" s="3">
        <v>1592837395.677417</v>
      </c>
      <c r="Y7" s="4">
        <v>93983.111731171375</v>
      </c>
      <c r="Z7" s="4">
        <v>7134.1072833442322</v>
      </c>
      <c r="AA7" s="4"/>
      <c r="AB7" s="3">
        <f t="shared" si="0"/>
        <v>93983.111731171375</v>
      </c>
      <c r="AC7" s="3">
        <f t="shared" si="1"/>
        <v>7134.1072833442322</v>
      </c>
    </row>
    <row r="8" spans="1:29" s="5" customFormat="1" x14ac:dyDescent="0.3">
      <c r="A8" s="30"/>
      <c r="B8" s="2">
        <v>100</v>
      </c>
      <c r="C8" s="3">
        <v>471645.33945100958</v>
      </c>
      <c r="D8" s="3">
        <v>102108.2131004367</v>
      </c>
      <c r="E8" s="3">
        <v>518213.87595256919</v>
      </c>
      <c r="F8" s="3">
        <v>45532.906709161267</v>
      </c>
      <c r="G8" s="3">
        <v>414914.81442870881</v>
      </c>
      <c r="H8" s="3">
        <v>63089.79790996424</v>
      </c>
      <c r="I8" s="3">
        <v>627961.31835893414</v>
      </c>
      <c r="J8" s="3">
        <v>67824.382445338793</v>
      </c>
      <c r="K8" s="3">
        <v>286571.86992445937</v>
      </c>
      <c r="L8" s="3">
        <v>18730.804927816829</v>
      </c>
      <c r="M8" s="3">
        <v>988091.41759413329</v>
      </c>
      <c r="N8" s="3">
        <v>1509302.911515807</v>
      </c>
      <c r="O8" s="3">
        <v>333363.10421559698</v>
      </c>
      <c r="P8" s="3">
        <v>40359.801276861457</v>
      </c>
      <c r="Q8" s="3">
        <v>1000127.102399499</v>
      </c>
      <c r="R8" s="3">
        <v>294460.98566746438</v>
      </c>
      <c r="S8" s="3">
        <v>776017.91768546356</v>
      </c>
      <c r="T8" s="3">
        <v>83462.47994853447</v>
      </c>
      <c r="U8" s="3">
        <v>1757113.873782394</v>
      </c>
      <c r="V8" s="3">
        <v>3043506.854700034</v>
      </c>
      <c r="W8" s="3">
        <v>17868683691.325069</v>
      </c>
      <c r="X8" s="3">
        <v>44130920401.863083</v>
      </c>
      <c r="Y8" s="4">
        <v>248316.05776685631</v>
      </c>
      <c r="Z8" s="4">
        <v>15150.373662616321</v>
      </c>
      <c r="AA8" s="4"/>
      <c r="AB8" s="3">
        <f t="shared" si="0"/>
        <v>248316.05776685631</v>
      </c>
      <c r="AC8" s="3">
        <f t="shared" si="1"/>
        <v>15150.373662616321</v>
      </c>
    </row>
    <row r="9" spans="1:29" x14ac:dyDescent="0.3">
      <c r="A9" s="30" t="s">
        <v>15</v>
      </c>
      <c r="B9" s="2">
        <v>30</v>
      </c>
      <c r="C9" s="3">
        <v>7289.5064019102501</v>
      </c>
      <c r="D9" s="3">
        <v>3696.9608085867299</v>
      </c>
      <c r="E9" s="3">
        <v>8435.6650626361206</v>
      </c>
      <c r="F9" s="3">
        <v>3971.4506633617598</v>
      </c>
      <c r="G9" s="3">
        <v>14719.704496246301</v>
      </c>
      <c r="H9" s="3">
        <v>5162.7360624482999</v>
      </c>
      <c r="I9" s="3">
        <v>7876.4290797008098</v>
      </c>
      <c r="J9" s="3">
        <v>3227.7469994698699</v>
      </c>
      <c r="K9" s="3">
        <v>9940.1587435167003</v>
      </c>
      <c r="L9" s="3">
        <v>932.72431887742005</v>
      </c>
      <c r="M9" s="3">
        <v>22133.4765603173</v>
      </c>
      <c r="N9" s="3">
        <v>6664.4721693831698</v>
      </c>
      <c r="O9" s="3">
        <v>14086.8960844181</v>
      </c>
      <c r="P9" s="3">
        <v>4513.9392254413196</v>
      </c>
      <c r="Q9" s="3">
        <v>58150.365358800998</v>
      </c>
      <c r="R9" s="3">
        <v>13750.9011018782</v>
      </c>
      <c r="S9" s="3">
        <v>46228.609257463802</v>
      </c>
      <c r="T9" s="3">
        <v>12627.7960413006</v>
      </c>
      <c r="U9" s="3">
        <v>47737.243131958101</v>
      </c>
      <c r="V9" s="3">
        <v>12115.3726305379</v>
      </c>
      <c r="W9" s="3">
        <v>167459.86084335041</v>
      </c>
      <c r="X9" s="3">
        <v>71884.917436318749</v>
      </c>
      <c r="Y9" s="4">
        <v>2569.89737702094</v>
      </c>
      <c r="Z9" s="4">
        <v>901.300208364024</v>
      </c>
      <c r="AB9" s="3">
        <f t="shared" si="0"/>
        <v>2569.89737702094</v>
      </c>
      <c r="AC9" s="3">
        <f t="shared" si="1"/>
        <v>901.300208364024</v>
      </c>
    </row>
    <row r="10" spans="1:29" x14ac:dyDescent="0.3">
      <c r="A10" s="30"/>
      <c r="B10" s="2">
        <v>50</v>
      </c>
      <c r="C10" s="3">
        <v>31036.809466695999</v>
      </c>
      <c r="D10" s="3">
        <v>6712.5083234445974</v>
      </c>
      <c r="E10" s="3">
        <v>33139.61757760225</v>
      </c>
      <c r="F10" s="3">
        <v>12531.67769974383</v>
      </c>
      <c r="G10" s="3">
        <v>41145.252314167628</v>
      </c>
      <c r="H10" s="3">
        <v>7600.6364984201091</v>
      </c>
      <c r="I10" s="3">
        <v>42063.777819357507</v>
      </c>
      <c r="J10" s="3">
        <v>11877.598907732319</v>
      </c>
      <c r="K10" s="3">
        <v>25398.420239050451</v>
      </c>
      <c r="L10" s="4">
        <v>1990.3596869910079</v>
      </c>
      <c r="M10" s="3">
        <v>55874.191462430827</v>
      </c>
      <c r="N10" s="3">
        <v>12077.926623645721</v>
      </c>
      <c r="O10" s="3">
        <v>34949.970855158208</v>
      </c>
      <c r="P10" s="3">
        <v>5856.33674842041</v>
      </c>
      <c r="Q10" s="3">
        <v>143892.35165741589</v>
      </c>
      <c r="R10" s="3">
        <v>25992.93961602042</v>
      </c>
      <c r="S10" s="3">
        <v>129891.12776006731</v>
      </c>
      <c r="T10" s="3">
        <v>21265.931434852511</v>
      </c>
      <c r="U10" s="3">
        <v>125519.5821445523</v>
      </c>
      <c r="V10" s="3">
        <v>25666.645902987711</v>
      </c>
      <c r="W10" s="3">
        <v>278115.90476588678</v>
      </c>
      <c r="X10" s="3">
        <v>115742.9120375577</v>
      </c>
      <c r="Y10" s="4">
        <v>14163.45246145992</v>
      </c>
      <c r="Z10" s="3">
        <v>2839.781918109702</v>
      </c>
      <c r="AB10" s="3">
        <f t="shared" si="0"/>
        <v>14163.45246145992</v>
      </c>
      <c r="AC10" s="3">
        <f t="shared" si="1"/>
        <v>1990.3596869910079</v>
      </c>
    </row>
    <row r="11" spans="1:29" x14ac:dyDescent="0.3">
      <c r="A11" s="30"/>
      <c r="B11" s="2">
        <v>100</v>
      </c>
      <c r="C11" s="3">
        <v>88371.661901520813</v>
      </c>
      <c r="D11" s="3">
        <v>16775.297123280179</v>
      </c>
      <c r="E11" s="3">
        <v>122252.0019288281</v>
      </c>
      <c r="F11" s="3">
        <v>32198.895332850469</v>
      </c>
      <c r="G11" s="3">
        <v>128049.92469758489</v>
      </c>
      <c r="H11" s="3">
        <v>14057.57954633531</v>
      </c>
      <c r="I11" s="3">
        <v>204714.93193517669</v>
      </c>
      <c r="J11" s="3">
        <v>38595.580463142163</v>
      </c>
      <c r="K11" s="3">
        <v>91271.068010720832</v>
      </c>
      <c r="L11" s="4">
        <v>7408.2681172906796</v>
      </c>
      <c r="M11" s="3">
        <v>160084.0508016391</v>
      </c>
      <c r="N11" s="3">
        <v>26203.661015566751</v>
      </c>
      <c r="O11" s="3">
        <v>116521.3358800127</v>
      </c>
      <c r="P11" s="3">
        <v>19191.397448117739</v>
      </c>
      <c r="Q11" s="3">
        <v>371446.04102206009</v>
      </c>
      <c r="R11" s="3">
        <v>65774.048551265179</v>
      </c>
      <c r="S11" s="3">
        <v>340468.8031018551</v>
      </c>
      <c r="T11" s="3">
        <v>60393.655969890387</v>
      </c>
      <c r="U11" s="3">
        <v>346266.99885390938</v>
      </c>
      <c r="V11" s="3">
        <v>57967.748741560383</v>
      </c>
      <c r="W11" s="3">
        <v>614583.31533858227</v>
      </c>
      <c r="X11" s="3">
        <v>159114.9598561202</v>
      </c>
      <c r="Y11" s="4">
        <v>50805.850506460432</v>
      </c>
      <c r="Z11" s="3">
        <v>10968.69496800894</v>
      </c>
      <c r="AA11" s="4"/>
      <c r="AB11" s="3">
        <f t="shared" si="0"/>
        <v>50805.850506460432</v>
      </c>
      <c r="AC11" s="3">
        <f t="shared" si="1"/>
        <v>7408.2681172906796</v>
      </c>
    </row>
    <row r="12" spans="1:29" x14ac:dyDescent="0.3">
      <c r="A12" s="30" t="s">
        <v>16</v>
      </c>
      <c r="B12" s="2">
        <v>30</v>
      </c>
      <c r="C12" s="3">
        <v>56573.859009683401</v>
      </c>
      <c r="D12" s="3">
        <v>13745.6472041417</v>
      </c>
      <c r="E12" s="3">
        <v>47459.879415543903</v>
      </c>
      <c r="F12" s="3">
        <v>14274.6038290789</v>
      </c>
      <c r="G12" s="3">
        <v>73029.156066497802</v>
      </c>
      <c r="H12" s="3">
        <v>11537.129280928</v>
      </c>
      <c r="I12" s="3">
        <v>55758.654361954301</v>
      </c>
      <c r="J12" s="3">
        <v>12902.830478645699</v>
      </c>
      <c r="K12" s="3">
        <v>64413.051792002603</v>
      </c>
      <c r="L12" s="3">
        <v>6060.7151669737996</v>
      </c>
      <c r="M12" s="3">
        <v>102525.682276586</v>
      </c>
      <c r="N12" s="3">
        <v>15629.752448854</v>
      </c>
      <c r="O12" s="3">
        <v>74686.475686359307</v>
      </c>
      <c r="P12" s="3">
        <v>12828.4655296653</v>
      </c>
      <c r="Q12" s="3">
        <v>157851.03217172899</v>
      </c>
      <c r="R12" s="3">
        <v>21917.671448219699</v>
      </c>
      <c r="S12" s="3">
        <v>133411.77694840101</v>
      </c>
      <c r="T12" s="3">
        <v>17486.718207138802</v>
      </c>
      <c r="U12" s="3">
        <v>140063.994706272</v>
      </c>
      <c r="V12" s="3">
        <v>18785.374921210099</v>
      </c>
      <c r="W12" s="3">
        <v>242796.14137097061</v>
      </c>
      <c r="X12" s="3">
        <v>71660.108482144613</v>
      </c>
      <c r="Y12" s="4">
        <v>26192.5880124334</v>
      </c>
      <c r="Z12" s="4">
        <v>3473.6653935965301</v>
      </c>
      <c r="AA12" s="4"/>
      <c r="AB12" s="3">
        <f t="shared" si="0"/>
        <v>26192.5880124334</v>
      </c>
      <c r="AC12" s="3">
        <f t="shared" si="1"/>
        <v>3473.6653935965301</v>
      </c>
    </row>
    <row r="13" spans="1:29" x14ac:dyDescent="0.3">
      <c r="A13" s="30"/>
      <c r="B13" s="2">
        <v>50</v>
      </c>
      <c r="C13" s="3">
        <v>107050.159960982</v>
      </c>
      <c r="D13" s="3">
        <v>9763.8805990384299</v>
      </c>
      <c r="E13" s="3">
        <v>105869.08813104501</v>
      </c>
      <c r="F13" s="3">
        <v>23756.534742912099</v>
      </c>
      <c r="G13" s="3">
        <v>117929.933659175</v>
      </c>
      <c r="H13" s="3">
        <v>11289.1090560596</v>
      </c>
      <c r="I13" s="3">
        <v>193881.581368274</v>
      </c>
      <c r="J13" s="3">
        <v>24153.9057546888</v>
      </c>
      <c r="K13" s="3">
        <v>92879.766980670407</v>
      </c>
      <c r="L13" s="3">
        <v>9997.2486817118006</v>
      </c>
      <c r="M13" s="3">
        <v>139318.25075717599</v>
      </c>
      <c r="N13" s="3">
        <v>12488.7606615564</v>
      </c>
      <c r="O13" s="3">
        <v>112109.024889532</v>
      </c>
      <c r="P13" s="3">
        <v>10062.417211051799</v>
      </c>
      <c r="Q13" s="3">
        <v>283993.61287992197</v>
      </c>
      <c r="R13" s="3">
        <v>30043.877815809399</v>
      </c>
      <c r="S13" s="3">
        <v>282331.31052365998</v>
      </c>
      <c r="T13" s="3">
        <v>21222.4926282796</v>
      </c>
      <c r="U13" s="3">
        <v>263687.09934940998</v>
      </c>
      <c r="V13" s="3">
        <v>22212.609282009202</v>
      </c>
      <c r="W13" s="3">
        <v>375137.37443515571</v>
      </c>
      <c r="X13" s="3">
        <v>66235.812617844756</v>
      </c>
      <c r="Y13" s="4">
        <v>66910.244928687098</v>
      </c>
      <c r="Z13" s="4">
        <v>7361.3979584448098</v>
      </c>
      <c r="AA13" s="4"/>
      <c r="AB13" s="3">
        <f t="shared" si="0"/>
        <v>66910.244928687098</v>
      </c>
      <c r="AC13" s="3">
        <f t="shared" si="1"/>
        <v>7361.3979584448098</v>
      </c>
    </row>
    <row r="14" spans="1:29" x14ac:dyDescent="0.3">
      <c r="A14" s="30"/>
      <c r="B14" s="2">
        <v>100</v>
      </c>
      <c r="C14" s="3">
        <v>309596.17981494468</v>
      </c>
      <c r="D14" s="3">
        <v>30246.72251029676</v>
      </c>
      <c r="E14" s="3">
        <v>338121.84857959358</v>
      </c>
      <c r="F14" s="3">
        <v>62013.601767564942</v>
      </c>
      <c r="G14" s="3">
        <v>335851.71047487762</v>
      </c>
      <c r="H14" s="3">
        <v>20128.708508375621</v>
      </c>
      <c r="I14" s="3">
        <v>587473.29247030756</v>
      </c>
      <c r="J14" s="3">
        <v>57423.829883223167</v>
      </c>
      <c r="K14" s="3">
        <v>275115.44849757728</v>
      </c>
      <c r="L14" s="3">
        <v>24057.030838663479</v>
      </c>
      <c r="M14" s="3">
        <v>380997.72205243638</v>
      </c>
      <c r="N14" s="3">
        <v>34572.199782185053</v>
      </c>
      <c r="O14" s="3">
        <v>327773.02050477319</v>
      </c>
      <c r="P14" s="3">
        <v>17244.130862671351</v>
      </c>
      <c r="Q14" s="3">
        <v>673618.70291700587</v>
      </c>
      <c r="R14" s="3">
        <v>58958.218567309043</v>
      </c>
      <c r="S14" s="3">
        <v>677927.43229975505</v>
      </c>
      <c r="T14" s="3">
        <v>45566.470505844329</v>
      </c>
      <c r="U14" s="3">
        <v>643121.37506352772</v>
      </c>
      <c r="V14" s="3">
        <v>55555.270758922154</v>
      </c>
      <c r="W14" s="3">
        <v>899063.1010180118</v>
      </c>
      <c r="X14" s="3">
        <v>126044.7625422158</v>
      </c>
      <c r="Y14" s="4">
        <v>220601.34251284241</v>
      </c>
      <c r="Z14" s="4">
        <v>6269.0135555663237</v>
      </c>
      <c r="AB14" s="3">
        <f t="shared" si="0"/>
        <v>220601.34251284241</v>
      </c>
      <c r="AC14" s="3">
        <f t="shared" si="1"/>
        <v>6269.0135555663237</v>
      </c>
    </row>
    <row r="15" spans="1:29" x14ac:dyDescent="0.3">
      <c r="A15" s="30" t="s">
        <v>17</v>
      </c>
      <c r="B15" s="2">
        <v>30</v>
      </c>
      <c r="C15" s="3">
        <v>500.02620056610772</v>
      </c>
      <c r="D15" s="3">
        <v>1.364158355257942E-2</v>
      </c>
      <c r="E15" s="3">
        <v>500.04968301455727</v>
      </c>
      <c r="F15" s="3">
        <v>1.062631350021718E-2</v>
      </c>
      <c r="G15" s="3">
        <v>500.04429272907788</v>
      </c>
      <c r="H15" s="3">
        <v>1.372617116089697E-2</v>
      </c>
      <c r="I15" s="3">
        <v>500.05938340281642</v>
      </c>
      <c r="J15" s="3">
        <v>1.6698020543625909E-2</v>
      </c>
      <c r="K15" s="3">
        <v>500.01579304237202</v>
      </c>
      <c r="L15" s="3">
        <v>7.2991362863809436E-3</v>
      </c>
      <c r="M15" s="3">
        <v>500.07150670834488</v>
      </c>
      <c r="N15" s="3">
        <v>2.4622352841991171E-2</v>
      </c>
      <c r="O15" s="3">
        <v>500.01514751935417</v>
      </c>
      <c r="P15" s="3">
        <v>5.7394669807774952E-3</v>
      </c>
      <c r="Q15" s="3">
        <v>500.10677838837262</v>
      </c>
      <c r="R15" s="3">
        <v>2.5001800088495871E-2</v>
      </c>
      <c r="S15" s="3">
        <v>500.09175567953451</v>
      </c>
      <c r="T15" s="3">
        <v>2.2776345838099388E-2</v>
      </c>
      <c r="U15" s="3">
        <v>500.07002016303238</v>
      </c>
      <c r="V15" s="3">
        <v>2.090492968382179E-2</v>
      </c>
      <c r="W15" s="3">
        <v>500.26004190204048</v>
      </c>
      <c r="X15" s="3">
        <v>9.1260970391460805E-2</v>
      </c>
      <c r="Y15" s="4">
        <v>500.00785135287299</v>
      </c>
      <c r="Z15" s="4">
        <v>3.6100349070186969E-3</v>
      </c>
      <c r="AB15" s="3">
        <f t="shared" si="0"/>
        <v>500.00785135287299</v>
      </c>
      <c r="AC15" s="3">
        <f t="shared" si="1"/>
        <v>3.6100349070186969E-3</v>
      </c>
    </row>
    <row r="16" spans="1:29" x14ac:dyDescent="0.3">
      <c r="A16" s="30"/>
      <c r="B16" s="2">
        <v>50</v>
      </c>
      <c r="C16" s="3">
        <v>500.04708556172028</v>
      </c>
      <c r="D16" s="3">
        <v>1.7739588335878489E-2</v>
      </c>
      <c r="E16" s="3">
        <v>500.07574081292529</v>
      </c>
      <c r="F16" s="3">
        <v>1.4251696089292771E-2</v>
      </c>
      <c r="G16" s="3">
        <v>500.04893734753273</v>
      </c>
      <c r="H16" s="3">
        <v>1.049453758197815E-2</v>
      </c>
      <c r="I16" s="3">
        <v>500.10139423435669</v>
      </c>
      <c r="J16" s="3">
        <v>1.5977682958075411E-2</v>
      </c>
      <c r="K16" s="3">
        <v>500.01591685672599</v>
      </c>
      <c r="L16" s="3">
        <v>8.2405636313780933E-3</v>
      </c>
      <c r="M16" s="3">
        <v>500.07389863557898</v>
      </c>
      <c r="N16" s="3">
        <v>1.841792296167237E-2</v>
      </c>
      <c r="O16" s="3">
        <v>500.02455985037062</v>
      </c>
      <c r="P16" s="3">
        <v>7.5440782577367157E-3</v>
      </c>
      <c r="Q16" s="3">
        <v>500.15918696423381</v>
      </c>
      <c r="R16" s="3">
        <v>2.1060164749778679E-2</v>
      </c>
      <c r="S16" s="3">
        <v>500.13442451226518</v>
      </c>
      <c r="T16" s="3">
        <v>1.8055137855604399E-2</v>
      </c>
      <c r="U16" s="3">
        <v>500.10274825649509</v>
      </c>
      <c r="V16" s="3">
        <v>1.811925972888075E-2</v>
      </c>
      <c r="W16" s="3">
        <v>500.28880840477478</v>
      </c>
      <c r="X16" s="3">
        <v>9.3089425474962975E-2</v>
      </c>
      <c r="Y16" s="4">
        <v>500.016281390882</v>
      </c>
      <c r="Z16" s="4">
        <v>5.0528248712694342E-3</v>
      </c>
      <c r="AB16" s="3">
        <f t="shared" si="0"/>
        <v>500.01591685672599</v>
      </c>
      <c r="AC16" s="3">
        <f t="shared" si="1"/>
        <v>5.0528248712694342E-3</v>
      </c>
    </row>
    <row r="17" spans="1:29" x14ac:dyDescent="0.3">
      <c r="A17" s="30"/>
      <c r="B17" s="2">
        <v>100</v>
      </c>
      <c r="C17" s="3">
        <v>500.08221814520249</v>
      </c>
      <c r="D17" s="3">
        <v>1.7661323430247192E-2</v>
      </c>
      <c r="E17" s="3">
        <v>500.1198539624607</v>
      </c>
      <c r="F17" s="3">
        <v>1.491959624931468E-2</v>
      </c>
      <c r="G17" s="3">
        <v>500.07495894141118</v>
      </c>
      <c r="H17" s="3">
        <v>1.3819848880833751E-2</v>
      </c>
      <c r="I17" s="3">
        <v>500.15294491365978</v>
      </c>
      <c r="J17" s="3">
        <v>2.0159274207934889E-2</v>
      </c>
      <c r="K17" s="3">
        <v>500.02596152951008</v>
      </c>
      <c r="L17" s="3">
        <v>8.0403102610842672E-3</v>
      </c>
      <c r="M17" s="3">
        <v>500.09594879547222</v>
      </c>
      <c r="N17" s="3">
        <v>1.6028508674074848E-2</v>
      </c>
      <c r="O17" s="3">
        <v>500.04193486705731</v>
      </c>
      <c r="P17" s="3">
        <v>7.6995143463925624E-3</v>
      </c>
      <c r="Q17" s="3">
        <v>500.20138329677258</v>
      </c>
      <c r="R17" s="3">
        <v>2.3682884745866391E-2</v>
      </c>
      <c r="S17" s="3">
        <v>500.1764301375635</v>
      </c>
      <c r="T17" s="3">
        <v>1.8389441501600622E-2</v>
      </c>
      <c r="U17" s="3">
        <v>500.14702019219141</v>
      </c>
      <c r="V17" s="3">
        <v>1.479804175784053E-2</v>
      </c>
      <c r="W17" s="3">
        <v>500.30343456069193</v>
      </c>
      <c r="X17" s="3">
        <v>6.4626890303968038E-2</v>
      </c>
      <c r="Y17" s="4">
        <v>500.02995432905419</v>
      </c>
      <c r="Z17" s="4">
        <v>6.8241812772260636E-3</v>
      </c>
      <c r="AB17" s="3">
        <f t="shared" si="0"/>
        <v>500.02596152951008</v>
      </c>
      <c r="AC17" s="3">
        <f t="shared" si="1"/>
        <v>6.8241812772260636E-3</v>
      </c>
    </row>
    <row r="18" spans="1:29" x14ac:dyDescent="0.3">
      <c r="A18" s="30" t="s">
        <v>18</v>
      </c>
      <c r="B18" s="2">
        <v>30</v>
      </c>
      <c r="C18" s="3">
        <v>38852.676134290938</v>
      </c>
      <c r="D18" s="3">
        <v>16803.66039792314</v>
      </c>
      <c r="E18" s="3">
        <v>83216.008641379594</v>
      </c>
      <c r="F18" s="3">
        <v>18332.835603820989</v>
      </c>
      <c r="G18" s="3">
        <v>61449.878116296903</v>
      </c>
      <c r="H18" s="3">
        <v>16904.27844890401</v>
      </c>
      <c r="I18" s="3">
        <v>96249.233270646975</v>
      </c>
      <c r="J18" s="3">
        <v>31588.869959820531</v>
      </c>
      <c r="K18" s="3">
        <v>56746.918025532541</v>
      </c>
      <c r="L18" s="3">
        <v>13519.452587984901</v>
      </c>
      <c r="M18" s="3">
        <v>108551.6681189855</v>
      </c>
      <c r="N18" s="3">
        <v>33633.330543506549</v>
      </c>
      <c r="O18" s="4">
        <v>37839.140884904453</v>
      </c>
      <c r="P18" s="4">
        <v>8942.3485803769654</v>
      </c>
      <c r="Q18" s="3">
        <v>212291.8059616338</v>
      </c>
      <c r="R18" s="3">
        <v>50908.056587536717</v>
      </c>
      <c r="S18" s="3">
        <v>136775.4333021871</v>
      </c>
      <c r="T18" s="3">
        <v>22618.32672945533</v>
      </c>
      <c r="U18" s="3">
        <v>185291.19294367009</v>
      </c>
      <c r="V18" s="3">
        <v>37180.928051025068</v>
      </c>
      <c r="W18" s="3">
        <v>191587.939613305</v>
      </c>
      <c r="X18" s="3">
        <v>63687.350078147138</v>
      </c>
      <c r="Y18" s="3">
        <v>42819.669352484467</v>
      </c>
      <c r="Z18" s="3">
        <v>12988.096916629829</v>
      </c>
      <c r="AB18" s="3">
        <f t="shared" si="0"/>
        <v>37839.140884904453</v>
      </c>
      <c r="AC18" s="3">
        <f t="shared" si="1"/>
        <v>8942.3485803769654</v>
      </c>
    </row>
    <row r="19" spans="1:29" x14ac:dyDescent="0.3">
      <c r="A19" s="30"/>
      <c r="B19" s="2">
        <v>50</v>
      </c>
      <c r="C19" s="4">
        <v>82136.495300584254</v>
      </c>
      <c r="D19" s="3">
        <v>23372.812305744879</v>
      </c>
      <c r="E19" s="3">
        <v>155527.06496515201</v>
      </c>
      <c r="F19" s="3">
        <v>18456.081748389061</v>
      </c>
      <c r="G19" s="3">
        <v>113597.1995694373</v>
      </c>
      <c r="H19" s="3">
        <v>20082.51231257417</v>
      </c>
      <c r="I19" s="3">
        <v>188204.63173456871</v>
      </c>
      <c r="J19" s="3">
        <v>34279.161164158802</v>
      </c>
      <c r="K19" s="3">
        <v>105725.8998137397</v>
      </c>
      <c r="L19" s="3">
        <v>20325.176977612598</v>
      </c>
      <c r="M19" s="3">
        <v>163136.01510083361</v>
      </c>
      <c r="N19" s="3">
        <v>32345.608272427358</v>
      </c>
      <c r="O19" s="3">
        <v>91033.702957136964</v>
      </c>
      <c r="P19" s="3">
        <v>18671.065275037781</v>
      </c>
      <c r="Q19" s="3">
        <v>321642.38751807949</v>
      </c>
      <c r="R19" s="3">
        <v>50106.211780834063</v>
      </c>
      <c r="S19" s="3">
        <v>252981.45963102739</v>
      </c>
      <c r="T19" s="3">
        <v>34478.060945267011</v>
      </c>
      <c r="U19" s="3">
        <v>268071.14675541309</v>
      </c>
      <c r="V19" s="3">
        <v>43686.337597225247</v>
      </c>
      <c r="W19" s="3">
        <v>292103.73185806</v>
      </c>
      <c r="X19" s="3">
        <v>71809.740871236514</v>
      </c>
      <c r="Y19" s="3">
        <v>102378.9050782116</v>
      </c>
      <c r="Z19" s="4">
        <v>9834.7766063138242</v>
      </c>
      <c r="AB19" s="3">
        <f t="shared" si="0"/>
        <v>82136.495300584254</v>
      </c>
      <c r="AC19" s="3">
        <f t="shared" si="1"/>
        <v>9834.7766063138242</v>
      </c>
    </row>
    <row r="20" spans="1:29" x14ac:dyDescent="0.3">
      <c r="A20" s="30"/>
      <c r="B20" s="2">
        <v>100</v>
      </c>
      <c r="C20" s="3">
        <v>110565.9044657075</v>
      </c>
      <c r="D20" s="3">
        <v>23764.267561256631</v>
      </c>
      <c r="E20" s="3">
        <v>184793.9640514488</v>
      </c>
      <c r="F20" s="3">
        <v>21071.395428518819</v>
      </c>
      <c r="G20" s="3">
        <v>110261.792041525</v>
      </c>
      <c r="H20" s="3">
        <v>10351.748480483961</v>
      </c>
      <c r="I20" s="3">
        <v>241005.8759860165</v>
      </c>
      <c r="J20" s="3">
        <v>22098.828069042491</v>
      </c>
      <c r="K20" s="3">
        <v>99951.461454627235</v>
      </c>
      <c r="L20" s="4">
        <v>8039.0599346545623</v>
      </c>
      <c r="M20" s="3">
        <v>146114.77407035741</v>
      </c>
      <c r="N20" s="3">
        <v>17764.890440088591</v>
      </c>
      <c r="O20" s="4">
        <v>91051.058848266024</v>
      </c>
      <c r="P20" s="3">
        <v>8229.2980390673947</v>
      </c>
      <c r="Q20" s="3">
        <v>297289.78027669393</v>
      </c>
      <c r="R20" s="3">
        <v>32499.0940699764</v>
      </c>
      <c r="S20" s="3">
        <v>272185.51515803009</v>
      </c>
      <c r="T20" s="3">
        <v>27685.35070998636</v>
      </c>
      <c r="U20" s="3">
        <v>267307.08092607767</v>
      </c>
      <c r="V20" s="3">
        <v>32603.396973888212</v>
      </c>
      <c r="W20" s="3">
        <v>278058.4351436515</v>
      </c>
      <c r="X20" s="3">
        <v>47259.84346053411</v>
      </c>
      <c r="Y20" s="3">
        <v>92990.592261289436</v>
      </c>
      <c r="Z20" s="3">
        <v>15156.885493603941</v>
      </c>
      <c r="AB20" s="3">
        <f t="shared" si="0"/>
        <v>91051.058848266024</v>
      </c>
      <c r="AC20" s="3">
        <f t="shared" si="1"/>
        <v>8039.0599346545623</v>
      </c>
    </row>
    <row r="21" spans="1:29" x14ac:dyDescent="0.3">
      <c r="A21" s="30" t="s">
        <v>19</v>
      </c>
      <c r="B21" s="2">
        <v>30</v>
      </c>
      <c r="C21" s="3">
        <v>702.57694282027603</v>
      </c>
      <c r="D21" s="3">
        <v>1.197801585262867</v>
      </c>
      <c r="E21" s="3">
        <v>705.00940602603077</v>
      </c>
      <c r="F21" s="3">
        <v>1.256417294229021</v>
      </c>
      <c r="G21" s="3">
        <v>703.75024019283592</v>
      </c>
      <c r="H21" s="3">
        <v>1.040747973305354</v>
      </c>
      <c r="I21" s="3">
        <v>705.80388921694396</v>
      </c>
      <c r="J21" s="3">
        <v>1.593986988392623</v>
      </c>
      <c r="K21" s="3">
        <v>701.7942207521362</v>
      </c>
      <c r="L21" s="3">
        <v>0.85081915789540252</v>
      </c>
      <c r="M21" s="3">
        <v>707.142107403257</v>
      </c>
      <c r="N21" s="3">
        <v>2.4550837338879972</v>
      </c>
      <c r="O21" s="3">
        <v>701.57739608274881</v>
      </c>
      <c r="P21" s="3">
        <v>0.65473718480468357</v>
      </c>
      <c r="Q21" s="3">
        <v>711.97847066339784</v>
      </c>
      <c r="R21" s="3">
        <v>1.6686259896822819</v>
      </c>
      <c r="S21" s="3">
        <v>708.31347631412177</v>
      </c>
      <c r="T21" s="3">
        <v>2.1626138212922719</v>
      </c>
      <c r="U21" s="3">
        <v>708.19945662887301</v>
      </c>
      <c r="V21" s="3">
        <v>1.5572090774764411</v>
      </c>
      <c r="W21" s="3">
        <v>721.8246459829154</v>
      </c>
      <c r="X21" s="3">
        <v>6.7847126661631281</v>
      </c>
      <c r="Y21" s="4">
        <v>700.86425666161915</v>
      </c>
      <c r="Z21" s="4">
        <v>0.50136474155582722</v>
      </c>
      <c r="AB21" s="3">
        <f t="shared" si="0"/>
        <v>700.86425666161915</v>
      </c>
      <c r="AC21" s="3">
        <f t="shared" si="1"/>
        <v>0.50136474155582722</v>
      </c>
    </row>
    <row r="22" spans="1:29" x14ac:dyDescent="0.3">
      <c r="A22" s="30"/>
      <c r="B22" s="2">
        <v>50</v>
      </c>
      <c r="C22" s="3">
        <v>704.92093947487592</v>
      </c>
      <c r="D22" s="3">
        <v>1.6231949701948321</v>
      </c>
      <c r="E22" s="3">
        <v>708.5004850840985</v>
      </c>
      <c r="F22" s="3">
        <v>1.3478006165489349</v>
      </c>
      <c r="G22" s="3">
        <v>705.13982152121889</v>
      </c>
      <c r="H22" s="3">
        <v>1.2496462574319731</v>
      </c>
      <c r="I22" s="3">
        <v>711.19977672153504</v>
      </c>
      <c r="J22" s="3">
        <v>2.246687166034798</v>
      </c>
      <c r="K22" s="3">
        <v>702.73229096956902</v>
      </c>
      <c r="L22" s="3">
        <v>0.69731788605581935</v>
      </c>
      <c r="M22" s="3">
        <v>708.4970032539112</v>
      </c>
      <c r="N22" s="3">
        <v>1.6601046091074589</v>
      </c>
      <c r="O22" s="3">
        <v>702.81355859251983</v>
      </c>
      <c r="P22" s="3">
        <v>0.67365937386301877</v>
      </c>
      <c r="Q22" s="3">
        <v>716.96044397594551</v>
      </c>
      <c r="R22" s="3">
        <v>2.684203892938728</v>
      </c>
      <c r="S22" s="3">
        <v>714.2685188667881</v>
      </c>
      <c r="T22" s="3">
        <v>2.3667041378063232</v>
      </c>
      <c r="U22" s="3">
        <v>711.49022478414383</v>
      </c>
      <c r="V22" s="3">
        <v>2.1652521012863279</v>
      </c>
      <c r="W22" s="3">
        <v>724.99718534024248</v>
      </c>
      <c r="X22" s="3">
        <v>7.9080894364053584</v>
      </c>
      <c r="Y22" s="4">
        <v>701.96806887955813</v>
      </c>
      <c r="Z22" s="4">
        <v>0.6180327946065366</v>
      </c>
      <c r="AB22" s="3">
        <f t="shared" si="0"/>
        <v>701.96806887955813</v>
      </c>
      <c r="AC22" s="3">
        <f t="shared" si="1"/>
        <v>0.6180327946065366</v>
      </c>
    </row>
    <row r="23" spans="1:29" x14ac:dyDescent="0.3">
      <c r="A23" s="30"/>
      <c r="B23" s="2">
        <v>100</v>
      </c>
      <c r="C23" s="3">
        <v>708.24038166438675</v>
      </c>
      <c r="D23" s="3">
        <v>1.823798749447469</v>
      </c>
      <c r="E23" s="3">
        <v>712.89204894413729</v>
      </c>
      <c r="F23" s="3">
        <v>1.6190664768846921</v>
      </c>
      <c r="G23" s="3">
        <v>707.6790324235692</v>
      </c>
      <c r="H23" s="3">
        <v>1.229292605251102</v>
      </c>
      <c r="I23" s="3">
        <v>717.44672149226813</v>
      </c>
      <c r="J23" s="3">
        <v>2.1089712226343988</v>
      </c>
      <c r="K23" s="3">
        <v>705.22938248857565</v>
      </c>
      <c r="L23" s="3">
        <v>1.1665995830278291</v>
      </c>
      <c r="M23" s="3">
        <v>711.02409288872514</v>
      </c>
      <c r="N23" s="3">
        <v>1.51801694982061</v>
      </c>
      <c r="O23" s="3">
        <v>705.25587412506445</v>
      </c>
      <c r="P23" s="4">
        <v>0.73652056500407204</v>
      </c>
      <c r="Q23" s="3">
        <v>722.37478900740905</v>
      </c>
      <c r="R23" s="3">
        <v>2.7125025867567931</v>
      </c>
      <c r="S23" s="3">
        <v>720.16364137299854</v>
      </c>
      <c r="T23" s="3">
        <v>1.8246743232438309</v>
      </c>
      <c r="U23" s="3">
        <v>716.10249251841151</v>
      </c>
      <c r="V23" s="3">
        <v>1.684950971121842</v>
      </c>
      <c r="W23" s="3">
        <v>727.67428146076759</v>
      </c>
      <c r="X23" s="3">
        <v>5.0974326052074987</v>
      </c>
      <c r="Y23" s="4">
        <v>704.36011661873681</v>
      </c>
      <c r="Z23" s="3">
        <v>0.88091866038903022</v>
      </c>
      <c r="AB23" s="3">
        <f t="shared" si="0"/>
        <v>704.36011661873681</v>
      </c>
      <c r="AC23" s="3">
        <f t="shared" si="1"/>
        <v>0.73652056500407204</v>
      </c>
    </row>
    <row r="24" spans="1:29" x14ac:dyDescent="0.3">
      <c r="A24" s="30" t="s">
        <v>20</v>
      </c>
      <c r="B24" s="2">
        <v>30</v>
      </c>
      <c r="C24" s="3">
        <v>836.35966980267233</v>
      </c>
      <c r="D24" s="3">
        <v>14.87345670773796</v>
      </c>
      <c r="E24" s="3">
        <v>842.2485911624002</v>
      </c>
      <c r="F24" s="3">
        <v>11.766080377630679</v>
      </c>
      <c r="G24" s="3">
        <v>837.6600753088112</v>
      </c>
      <c r="H24" s="3">
        <v>8.4022827455560893</v>
      </c>
      <c r="I24" s="3">
        <v>858.91996564698081</v>
      </c>
      <c r="J24" s="3">
        <v>12.09876043504844</v>
      </c>
      <c r="K24" s="3">
        <v>819.63260451724204</v>
      </c>
      <c r="L24" s="3">
        <v>4.0292844562067618</v>
      </c>
      <c r="M24" s="3">
        <v>856.1519334227736</v>
      </c>
      <c r="N24" s="3">
        <v>8.4189946640142015</v>
      </c>
      <c r="O24" s="3">
        <v>825.39206859870478</v>
      </c>
      <c r="P24" s="3">
        <v>5.8035000152393703</v>
      </c>
      <c r="Q24" s="3">
        <v>907.81642069277382</v>
      </c>
      <c r="R24" s="3">
        <v>19.43964620748795</v>
      </c>
      <c r="S24" s="3">
        <v>894.57908404431305</v>
      </c>
      <c r="T24" s="3">
        <v>13.336554748135979</v>
      </c>
      <c r="U24" s="3">
        <v>884.14473201146689</v>
      </c>
      <c r="V24" s="3">
        <v>12.526077369557621</v>
      </c>
      <c r="W24" s="3">
        <v>995.87507429485481</v>
      </c>
      <c r="X24" s="3">
        <v>54.307957284895267</v>
      </c>
      <c r="Y24" s="4">
        <v>815.63916058731365</v>
      </c>
      <c r="Z24" s="4">
        <v>3.927014737456648</v>
      </c>
      <c r="AB24" s="3">
        <f t="shared" si="0"/>
        <v>815.63916058731365</v>
      </c>
      <c r="AC24" s="3">
        <f t="shared" si="1"/>
        <v>3.927014737456648</v>
      </c>
    </row>
    <row r="25" spans="1:29" x14ac:dyDescent="0.3">
      <c r="A25" s="30"/>
      <c r="B25" s="2">
        <v>50</v>
      </c>
      <c r="C25" s="3">
        <v>897.79937262258284</v>
      </c>
      <c r="D25" s="3">
        <v>23.099505978751871</v>
      </c>
      <c r="E25" s="3">
        <v>920.33808669119105</v>
      </c>
      <c r="F25" s="3">
        <v>21.605295734014259</v>
      </c>
      <c r="G25" s="3">
        <v>908.09387822612086</v>
      </c>
      <c r="H25" s="3">
        <v>13.28726693063434</v>
      </c>
      <c r="I25" s="3">
        <v>986.30704913742227</v>
      </c>
      <c r="J25" s="3">
        <v>35.231768716228878</v>
      </c>
      <c r="K25" s="3">
        <v>874.2520793235492</v>
      </c>
      <c r="L25" s="4">
        <v>7.0156725834092111</v>
      </c>
      <c r="M25" s="3">
        <v>947.42665723050959</v>
      </c>
      <c r="N25" s="3">
        <v>25.762782813929132</v>
      </c>
      <c r="O25" s="3">
        <v>884.23311482181384</v>
      </c>
      <c r="P25" s="3">
        <v>12.69680144976558</v>
      </c>
      <c r="Q25" s="3">
        <v>1053.2025593026081</v>
      </c>
      <c r="R25" s="3">
        <v>24.474340120073421</v>
      </c>
      <c r="S25" s="3">
        <v>1033.932530866218</v>
      </c>
      <c r="T25" s="3">
        <v>20.881331810896111</v>
      </c>
      <c r="U25" s="3">
        <v>1019.373549038405</v>
      </c>
      <c r="V25" s="3">
        <v>25.324935370268779</v>
      </c>
      <c r="W25" s="3">
        <v>1198.5911695344321</v>
      </c>
      <c r="X25" s="3">
        <v>91.477084589634515</v>
      </c>
      <c r="Y25" s="4">
        <v>854.69957099097871</v>
      </c>
      <c r="Z25" s="3">
        <v>7.4503973371520607</v>
      </c>
      <c r="AB25" s="3">
        <f t="shared" si="0"/>
        <v>854.69957099097871</v>
      </c>
      <c r="AC25" s="3">
        <f t="shared" si="1"/>
        <v>7.0156725834092111</v>
      </c>
    </row>
    <row r="26" spans="1:29" x14ac:dyDescent="0.3">
      <c r="A26" s="30"/>
      <c r="B26" s="2">
        <v>100</v>
      </c>
      <c r="C26" s="3">
        <v>1174.8466765834301</v>
      </c>
      <c r="D26" s="3">
        <v>67.714743320418776</v>
      </c>
      <c r="E26" s="3">
        <v>1213.2563109559269</v>
      </c>
      <c r="F26" s="3">
        <v>49.055274678562057</v>
      </c>
      <c r="G26" s="3">
        <v>1138.1407744688181</v>
      </c>
      <c r="H26" s="3">
        <v>49.016770822449487</v>
      </c>
      <c r="I26" s="3">
        <v>1369.0577425830029</v>
      </c>
      <c r="J26" s="3">
        <v>53.890238750870338</v>
      </c>
      <c r="K26" s="3">
        <v>1014.087637520416</v>
      </c>
      <c r="L26" s="3">
        <v>29.667983324501161</v>
      </c>
      <c r="M26" s="3">
        <v>1198.537105003425</v>
      </c>
      <c r="N26" s="3">
        <v>41.235680619641251</v>
      </c>
      <c r="O26" s="3">
        <v>1062.6628043534249</v>
      </c>
      <c r="P26" s="3">
        <v>25.422419645488951</v>
      </c>
      <c r="Q26" s="3">
        <v>1469.0449611803369</v>
      </c>
      <c r="R26" s="3">
        <v>58.036309239436378</v>
      </c>
      <c r="S26" s="3">
        <v>1431.684565900011</v>
      </c>
      <c r="T26" s="3">
        <v>48.20102739640862</v>
      </c>
      <c r="U26" s="3">
        <v>1408.4482286108471</v>
      </c>
      <c r="V26" s="3">
        <v>43.264364164873562</v>
      </c>
      <c r="W26" s="3">
        <v>1780.166587650996</v>
      </c>
      <c r="X26" s="3">
        <v>154.97765996015951</v>
      </c>
      <c r="Y26" s="4">
        <v>1000.240293295099</v>
      </c>
      <c r="Z26" s="4">
        <v>21.14483758874908</v>
      </c>
      <c r="AB26" s="3">
        <f t="shared" si="0"/>
        <v>1000.240293295099</v>
      </c>
      <c r="AC26" s="3">
        <f t="shared" si="1"/>
        <v>21.14483758874908</v>
      </c>
    </row>
    <row r="27" spans="1:29" x14ac:dyDescent="0.3">
      <c r="A27" s="30" t="s">
        <v>21</v>
      </c>
      <c r="B27" s="2">
        <v>30</v>
      </c>
      <c r="C27" s="3">
        <v>7406.4980929237954</v>
      </c>
      <c r="D27" s="3">
        <v>800.37491677670653</v>
      </c>
      <c r="E27" s="3">
        <v>9139.6102099756044</v>
      </c>
      <c r="F27" s="4">
        <v>293.59379319412602</v>
      </c>
      <c r="G27" s="3">
        <v>9081.1694968602678</v>
      </c>
      <c r="H27" s="3">
        <v>523.10061505888598</v>
      </c>
      <c r="I27" s="3">
        <v>8836.1331275906941</v>
      </c>
      <c r="J27" s="3">
        <v>443.73568664196199</v>
      </c>
      <c r="K27" s="3">
        <v>7371.620668427181</v>
      </c>
      <c r="L27" s="3">
        <v>622.59617074270534</v>
      </c>
      <c r="M27" s="3">
        <v>9955.5984004631518</v>
      </c>
      <c r="N27" s="3">
        <v>572.48357017868284</v>
      </c>
      <c r="O27" s="3">
        <v>7297.406133943764</v>
      </c>
      <c r="P27" s="3">
        <v>569.02796896362361</v>
      </c>
      <c r="Q27" s="3">
        <v>9165.1159189512728</v>
      </c>
      <c r="R27" s="3">
        <v>320.70725902139378</v>
      </c>
      <c r="S27" s="3">
        <v>9181.3430813100167</v>
      </c>
      <c r="T27" s="3">
        <v>364.04832179359141</v>
      </c>
      <c r="U27" s="3">
        <v>9623.4237695396969</v>
      </c>
      <c r="V27" s="3">
        <v>373.70180491315961</v>
      </c>
      <c r="W27" s="3">
        <v>11138.11575302922</v>
      </c>
      <c r="X27" s="3">
        <v>730.09807354106647</v>
      </c>
      <c r="Y27" s="4">
        <v>6577.4478223170581</v>
      </c>
      <c r="Z27" s="3">
        <v>846.28573889950326</v>
      </c>
      <c r="AB27" s="3">
        <f t="shared" si="0"/>
        <v>6577.4478223170581</v>
      </c>
      <c r="AC27" s="3">
        <f t="shared" si="1"/>
        <v>293.59379319412602</v>
      </c>
    </row>
    <row r="28" spans="1:29" x14ac:dyDescent="0.3">
      <c r="A28" s="30"/>
      <c r="B28" s="2">
        <v>50</v>
      </c>
      <c r="C28" s="3">
        <v>14544.806196250671</v>
      </c>
      <c r="D28" s="3">
        <v>1089.4317015794761</v>
      </c>
      <c r="E28" s="3">
        <v>16249.86239651281</v>
      </c>
      <c r="F28" s="3">
        <v>484.65000201856759</v>
      </c>
      <c r="G28" s="3">
        <v>16572.64790917973</v>
      </c>
      <c r="H28" s="3">
        <v>630.66808672747527</v>
      </c>
      <c r="I28" s="3">
        <v>15886.540746707649</v>
      </c>
      <c r="J28" s="3">
        <v>576.4344534878212</v>
      </c>
      <c r="K28" s="3">
        <v>14488.973668087279</v>
      </c>
      <c r="L28" s="3">
        <v>1085.8014565265671</v>
      </c>
      <c r="M28" s="3">
        <v>17456.61117672882</v>
      </c>
      <c r="N28" s="3">
        <v>647.95581736673432</v>
      </c>
      <c r="O28" s="3">
        <v>14368.937281201261</v>
      </c>
      <c r="P28" s="3">
        <v>636.47917662763416</v>
      </c>
      <c r="Q28" s="3">
        <v>16724.769805126842</v>
      </c>
      <c r="R28" s="3">
        <v>419.24580362055889</v>
      </c>
      <c r="S28" s="3">
        <v>16392.34478958615</v>
      </c>
      <c r="T28" s="4">
        <v>372.94129070068698</v>
      </c>
      <c r="U28" s="3">
        <v>16803.30362274724</v>
      </c>
      <c r="V28" s="3">
        <v>521.58752143532672</v>
      </c>
      <c r="W28" s="3">
        <v>18226.326350998999</v>
      </c>
      <c r="X28" s="3">
        <v>1333.592123935065</v>
      </c>
      <c r="Y28" s="4">
        <v>13960.57472029702</v>
      </c>
      <c r="Z28" s="3">
        <v>1260.964617632507</v>
      </c>
      <c r="AB28" s="3">
        <f t="shared" si="0"/>
        <v>13960.57472029702</v>
      </c>
      <c r="AC28" s="3">
        <f t="shared" si="1"/>
        <v>372.94129070068698</v>
      </c>
    </row>
    <row r="29" spans="1:29" x14ac:dyDescent="0.3">
      <c r="A29" s="30"/>
      <c r="B29" s="2">
        <v>100</v>
      </c>
      <c r="C29" s="3">
        <v>31862.21875543474</v>
      </c>
      <c r="D29" s="3">
        <v>1302.7959859734549</v>
      </c>
      <c r="E29" s="3">
        <v>34280.399907222003</v>
      </c>
      <c r="F29" s="3">
        <v>551.12149986968461</v>
      </c>
      <c r="G29" s="3">
        <v>34490.373977431424</v>
      </c>
      <c r="H29" s="3">
        <v>749.76755390517997</v>
      </c>
      <c r="I29" s="3">
        <v>34292.923075197461</v>
      </c>
      <c r="J29" s="3">
        <v>866.15903929826618</v>
      </c>
      <c r="K29" s="3">
        <v>31669.702186376689</v>
      </c>
      <c r="L29" s="3">
        <v>2031.5939630879959</v>
      </c>
      <c r="M29" s="3">
        <v>36123.605531403453</v>
      </c>
      <c r="N29" s="3">
        <v>1037.605251684809</v>
      </c>
      <c r="O29" s="3">
        <v>32064.82243804161</v>
      </c>
      <c r="P29" s="3">
        <v>1316.007707925477</v>
      </c>
      <c r="Q29" s="3">
        <v>34965.421356612947</v>
      </c>
      <c r="R29" s="4">
        <v>502.30373262012063</v>
      </c>
      <c r="S29" s="3">
        <v>34572.716309828822</v>
      </c>
      <c r="T29" s="3">
        <v>639.63062082278987</v>
      </c>
      <c r="U29" s="3">
        <v>34919.68856616546</v>
      </c>
      <c r="V29" s="3">
        <v>680.49929449172089</v>
      </c>
      <c r="W29" s="3">
        <v>36583.633927751493</v>
      </c>
      <c r="X29" s="3">
        <v>1518.9619875984581</v>
      </c>
      <c r="Y29" s="4">
        <v>31076.88792105922</v>
      </c>
      <c r="Z29" s="3">
        <v>1496.3410133014061</v>
      </c>
      <c r="AB29" s="3">
        <f t="shared" si="0"/>
        <v>31076.88792105922</v>
      </c>
      <c r="AC29" s="3">
        <f t="shared" si="1"/>
        <v>502.30373262012063</v>
      </c>
    </row>
    <row r="30" spans="1:29" x14ac:dyDescent="0.3">
      <c r="A30" s="30" t="s">
        <v>22</v>
      </c>
      <c r="B30" s="2">
        <v>30</v>
      </c>
      <c r="C30" s="3">
        <v>4638603.5642408496</v>
      </c>
      <c r="D30" s="3">
        <v>7342705.0801468203</v>
      </c>
      <c r="E30" s="3">
        <v>20858659.0257551</v>
      </c>
      <c r="F30" s="3">
        <v>16888792.782309201</v>
      </c>
      <c r="G30" s="3">
        <v>154634633.143938</v>
      </c>
      <c r="H30" s="3">
        <v>216370855.498254</v>
      </c>
      <c r="I30" s="3">
        <v>1209168.1881788899</v>
      </c>
      <c r="J30" s="3">
        <v>925992.505751941</v>
      </c>
      <c r="K30" s="3">
        <v>628614578.56427801</v>
      </c>
      <c r="L30" s="3">
        <v>265048037.429277</v>
      </c>
      <c r="M30" s="3">
        <v>3153828389.6426702</v>
      </c>
      <c r="N30" s="3">
        <v>2079224261.74438</v>
      </c>
      <c r="O30" s="3">
        <v>197614837.45174399</v>
      </c>
      <c r="P30" s="3">
        <v>469827424.67750299</v>
      </c>
      <c r="Q30" s="3">
        <v>219127297.00089601</v>
      </c>
      <c r="R30" s="3">
        <v>253278574.913921</v>
      </c>
      <c r="S30" s="3">
        <v>277126169.36061901</v>
      </c>
      <c r="T30" s="3">
        <v>277856389.20431399</v>
      </c>
      <c r="U30" s="3">
        <v>3905562051.4428701</v>
      </c>
      <c r="V30" s="3">
        <v>3723465680.8265901</v>
      </c>
      <c r="W30" s="3">
        <v>148293069612.27719</v>
      </c>
      <c r="X30" s="3">
        <v>171133328076.69641</v>
      </c>
      <c r="Y30" s="4">
        <v>360741.76161951799</v>
      </c>
      <c r="Z30" s="4">
        <v>510378.80821638898</v>
      </c>
      <c r="AB30" s="3">
        <f t="shared" si="0"/>
        <v>360741.76161951799</v>
      </c>
      <c r="AC30" s="3">
        <f t="shared" si="1"/>
        <v>510378.80821638898</v>
      </c>
    </row>
    <row r="31" spans="1:29" x14ac:dyDescent="0.3">
      <c r="A31" s="30"/>
      <c r="B31" s="2">
        <v>50</v>
      </c>
      <c r="C31" s="3">
        <v>148648641.95446101</v>
      </c>
      <c r="D31" s="3">
        <v>181076212.75799501</v>
      </c>
      <c r="E31" s="3">
        <v>273747885.13471401</v>
      </c>
      <c r="F31" s="3">
        <v>278099181.62911701</v>
      </c>
      <c r="G31" s="3">
        <v>1480577078.32933</v>
      </c>
      <c r="H31" s="3">
        <v>1580365818.95824</v>
      </c>
      <c r="I31" s="3">
        <v>55192970.279132403</v>
      </c>
      <c r="J31" s="3">
        <v>30876682.678851798</v>
      </c>
      <c r="K31" s="3">
        <v>2604576947.0422502</v>
      </c>
      <c r="L31" s="3">
        <v>705568701.24501395</v>
      </c>
      <c r="M31" s="3">
        <v>9116368181.5417595</v>
      </c>
      <c r="N31" s="3">
        <v>6893217910.9243002</v>
      </c>
      <c r="O31" s="3">
        <v>1676917349.2411499</v>
      </c>
      <c r="P31" s="3">
        <v>2707788333.7625599</v>
      </c>
      <c r="Q31" s="3">
        <v>20300561113.2257</v>
      </c>
      <c r="R31" s="3">
        <v>12302485270.839001</v>
      </c>
      <c r="S31" s="3">
        <v>6043296632.71455</v>
      </c>
      <c r="T31" s="3">
        <v>3207847929.5977302</v>
      </c>
      <c r="U31" s="3">
        <v>13904382137.328899</v>
      </c>
      <c r="V31" s="3">
        <v>8373390696.3710699</v>
      </c>
      <c r="W31" s="3">
        <v>251624100141.0939</v>
      </c>
      <c r="X31" s="3">
        <v>179632308449.23569</v>
      </c>
      <c r="Y31" s="4">
        <v>2285596.6565852799</v>
      </c>
      <c r="Z31" s="4">
        <v>3312976.1999173402</v>
      </c>
      <c r="AB31" s="3">
        <f t="shared" si="0"/>
        <v>2285596.6565852799</v>
      </c>
      <c r="AC31" s="3">
        <f t="shared" si="1"/>
        <v>3312976.1999173402</v>
      </c>
    </row>
    <row r="32" spans="1:29" x14ac:dyDescent="0.3">
      <c r="A32" s="30"/>
      <c r="B32" s="2">
        <v>100</v>
      </c>
      <c r="C32" s="3">
        <v>5154717301.6269016</v>
      </c>
      <c r="D32" s="3">
        <v>3256722251.5885248</v>
      </c>
      <c r="E32" s="3">
        <v>4791716091.6176538</v>
      </c>
      <c r="F32" s="3">
        <v>2856075439.7240362</v>
      </c>
      <c r="G32" s="3">
        <v>11590254156.154261</v>
      </c>
      <c r="H32" s="3">
        <v>5942941913.4504986</v>
      </c>
      <c r="I32" s="3">
        <v>5073176351.5271263</v>
      </c>
      <c r="J32" s="3">
        <v>3043476107.6430092</v>
      </c>
      <c r="K32" s="3">
        <v>5140002800.3137903</v>
      </c>
      <c r="L32" s="3">
        <v>720827436.30712032</v>
      </c>
      <c r="M32" s="3">
        <v>23820097826.530449</v>
      </c>
      <c r="N32" s="3">
        <v>11004592560.455231</v>
      </c>
      <c r="O32" s="3">
        <v>10012327766.206949</v>
      </c>
      <c r="P32" s="3">
        <v>3724575216.8636942</v>
      </c>
      <c r="Q32" s="3">
        <v>83694622693.361099</v>
      </c>
      <c r="R32" s="3">
        <v>35694521612.326332</v>
      </c>
      <c r="S32" s="3">
        <v>49226575617.30928</v>
      </c>
      <c r="T32" s="3">
        <v>21870537579.02536</v>
      </c>
      <c r="U32" s="3">
        <v>72246342804.822449</v>
      </c>
      <c r="V32" s="3">
        <v>20597271632.732639</v>
      </c>
      <c r="W32" s="3">
        <v>276627802907.08771</v>
      </c>
      <c r="X32" s="3">
        <v>142476556122.28</v>
      </c>
      <c r="Y32" s="4">
        <v>686556097.42430997</v>
      </c>
      <c r="Z32" s="4">
        <v>541590561.81644833</v>
      </c>
      <c r="AB32" s="3">
        <f t="shared" si="0"/>
        <v>686556097.42430997</v>
      </c>
      <c r="AC32" s="3">
        <f t="shared" si="1"/>
        <v>541590561.81644833</v>
      </c>
    </row>
    <row r="33" spans="1:29" x14ac:dyDescent="0.3">
      <c r="A33" s="30" t="s">
        <v>23</v>
      </c>
      <c r="B33" s="2">
        <v>30</v>
      </c>
      <c r="C33" s="3">
        <v>3716629557.4904709</v>
      </c>
      <c r="D33" s="3">
        <v>2785935039.371861</v>
      </c>
      <c r="E33" s="3">
        <v>3796909829.96</v>
      </c>
      <c r="F33" s="3">
        <v>1600114347.7389989</v>
      </c>
      <c r="G33" s="3">
        <v>10889655212.75831</v>
      </c>
      <c r="H33" s="3">
        <v>4177418033.1267061</v>
      </c>
      <c r="I33" s="3">
        <v>2542552380.1794229</v>
      </c>
      <c r="J33" s="3">
        <v>958912733.06780386</v>
      </c>
      <c r="K33" s="3">
        <v>13082699265.86377</v>
      </c>
      <c r="L33" s="3">
        <v>973942930.31092191</v>
      </c>
      <c r="M33" s="3">
        <v>22585224263.717751</v>
      </c>
      <c r="N33" s="3">
        <v>4473029355.1431417</v>
      </c>
      <c r="O33" s="3">
        <v>13251672078.532789</v>
      </c>
      <c r="P33" s="3">
        <v>4323344715.5090075</v>
      </c>
      <c r="Q33" s="3">
        <v>29612657332.027302</v>
      </c>
      <c r="R33" s="3">
        <v>7951361522.3077917</v>
      </c>
      <c r="S33" s="3">
        <v>21568526165.059132</v>
      </c>
      <c r="T33" s="3">
        <v>5545364414.4970541</v>
      </c>
      <c r="U33" s="3">
        <v>29407834503.36256</v>
      </c>
      <c r="V33" s="3">
        <v>6332098920.2818995</v>
      </c>
      <c r="W33" s="3">
        <v>57790966420.266502</v>
      </c>
      <c r="X33" s="3">
        <v>22480309298.839069</v>
      </c>
      <c r="Y33" s="4">
        <v>970382018.89055026</v>
      </c>
      <c r="Z33" s="4">
        <v>613512972.12319779</v>
      </c>
      <c r="AB33" s="3">
        <f t="shared" si="0"/>
        <v>970382018.89055026</v>
      </c>
      <c r="AC33" s="3">
        <f t="shared" si="1"/>
        <v>613512972.12319779</v>
      </c>
    </row>
    <row r="34" spans="1:29" x14ac:dyDescent="0.3">
      <c r="A34" s="30"/>
      <c r="B34" s="2">
        <v>50</v>
      </c>
      <c r="C34" s="3">
        <v>12091991440.93751</v>
      </c>
      <c r="D34" s="3">
        <v>3578602646.365942</v>
      </c>
      <c r="E34" s="3">
        <v>13223918330.378469</v>
      </c>
      <c r="F34" s="3">
        <v>4629184769.7445002</v>
      </c>
      <c r="G34" s="3">
        <v>18353506882.883789</v>
      </c>
      <c r="H34" s="3">
        <v>4247443563.8634171</v>
      </c>
      <c r="I34" s="3">
        <v>16198105182.942989</v>
      </c>
      <c r="J34" s="3">
        <v>3521613902.029098</v>
      </c>
      <c r="K34" s="3">
        <v>14687325767.091089</v>
      </c>
      <c r="L34" s="3">
        <v>1055863809.550132</v>
      </c>
      <c r="M34" s="3">
        <v>29192572067.078239</v>
      </c>
      <c r="N34" s="3">
        <v>5282086030.6598272</v>
      </c>
      <c r="O34" s="3">
        <v>20162031444.338989</v>
      </c>
      <c r="P34" s="3">
        <v>4769229004.3340921</v>
      </c>
      <c r="Q34" s="3">
        <v>56761881214.855164</v>
      </c>
      <c r="R34" s="3">
        <v>8823676184.992548</v>
      </c>
      <c r="S34" s="3">
        <v>51015534098.009933</v>
      </c>
      <c r="T34" s="3">
        <v>8381039154.4961891</v>
      </c>
      <c r="U34" s="3">
        <v>50884791072.379471</v>
      </c>
      <c r="V34" s="3">
        <v>7344719120.1902142</v>
      </c>
      <c r="W34" s="3">
        <v>87442121495.418213</v>
      </c>
      <c r="X34" s="3">
        <v>23495611577.28944</v>
      </c>
      <c r="Y34" s="4">
        <v>4607524005.3454714</v>
      </c>
      <c r="Z34" s="3">
        <v>1851344711.3964701</v>
      </c>
      <c r="AB34" s="3">
        <f t="shared" si="0"/>
        <v>4607524005.3454714</v>
      </c>
      <c r="AC34" s="3">
        <f t="shared" si="1"/>
        <v>1055863809.550132</v>
      </c>
    </row>
    <row r="35" spans="1:29" x14ac:dyDescent="0.3">
      <c r="A35" s="30"/>
      <c r="B35" s="2">
        <v>100</v>
      </c>
      <c r="C35" s="3">
        <v>151090055758.63409</v>
      </c>
      <c r="D35" s="3">
        <v>27913673266.356709</v>
      </c>
      <c r="E35" s="3">
        <v>152856414036.11121</v>
      </c>
      <c r="F35" s="3">
        <v>29723497960.51347</v>
      </c>
      <c r="G35" s="3">
        <v>191035732367.36609</v>
      </c>
      <c r="H35" s="3">
        <v>21205743196.018459</v>
      </c>
      <c r="I35" s="3">
        <v>170657917713.33969</v>
      </c>
      <c r="J35" s="3">
        <v>23069818928.005981</v>
      </c>
      <c r="K35" s="3">
        <v>168919581393.26151</v>
      </c>
      <c r="L35" s="3">
        <v>7095085992.9191933</v>
      </c>
      <c r="M35" s="3">
        <v>230287257960.12961</v>
      </c>
      <c r="N35" s="3">
        <v>32268841822.46574</v>
      </c>
      <c r="O35" s="3">
        <v>196412284293.84921</v>
      </c>
      <c r="P35" s="3">
        <v>24881471916.415421</v>
      </c>
      <c r="Q35" s="3">
        <v>357793431608.4718</v>
      </c>
      <c r="R35" s="3">
        <v>53652158197.114807</v>
      </c>
      <c r="S35" s="3">
        <v>355524251704.2276</v>
      </c>
      <c r="T35" s="3">
        <v>29986047310.588699</v>
      </c>
      <c r="U35" s="3">
        <v>348105700115.01202</v>
      </c>
      <c r="V35" s="3">
        <v>40242639023.138771</v>
      </c>
      <c r="W35" s="3">
        <v>532158400826.35388</v>
      </c>
      <c r="X35" s="3">
        <v>98213647459.361511</v>
      </c>
      <c r="Y35" s="4">
        <v>85235832590.097687</v>
      </c>
      <c r="Z35" s="3">
        <v>14610399279.52886</v>
      </c>
      <c r="AB35" s="3">
        <f t="shared" si="0"/>
        <v>85235832590.097687</v>
      </c>
      <c r="AC35" s="3">
        <f t="shared" si="1"/>
        <v>7095085992.9191933</v>
      </c>
    </row>
    <row r="36" spans="1:29" x14ac:dyDescent="0.3">
      <c r="A36" s="30" t="s">
        <v>24</v>
      </c>
      <c r="B36" s="2">
        <v>30</v>
      </c>
      <c r="C36" s="3">
        <v>4023585172.5197978</v>
      </c>
      <c r="D36" s="3">
        <v>2748357038.4361658</v>
      </c>
      <c r="E36" s="3">
        <v>5064519694.5508671</v>
      </c>
      <c r="F36" s="3">
        <v>2795994132.3844891</v>
      </c>
      <c r="G36" s="3">
        <v>11958133640.829321</v>
      </c>
      <c r="H36" s="3">
        <v>3906154149.0529609</v>
      </c>
      <c r="I36" s="3">
        <v>2774154959.824347</v>
      </c>
      <c r="J36" s="3">
        <v>980747242.4433769</v>
      </c>
      <c r="K36" s="3">
        <v>10584732848.36771</v>
      </c>
      <c r="L36" s="3">
        <v>937156127.28950298</v>
      </c>
      <c r="M36" s="3">
        <v>20981526235.99028</v>
      </c>
      <c r="N36" s="3">
        <v>5135631675.9409523</v>
      </c>
      <c r="O36" s="3">
        <v>12164371090.09631</v>
      </c>
      <c r="P36" s="3">
        <v>4644071020.8734684</v>
      </c>
      <c r="Q36" s="3">
        <v>34448341808.397667</v>
      </c>
      <c r="R36" s="3">
        <v>10656834381.29549</v>
      </c>
      <c r="S36" s="3">
        <v>27161682244.8311</v>
      </c>
      <c r="T36" s="3">
        <v>7849089314.2661886</v>
      </c>
      <c r="U36" s="3">
        <v>35965766457.176392</v>
      </c>
      <c r="V36" s="3">
        <v>6972400764.4623585</v>
      </c>
      <c r="W36" s="3">
        <v>75735196516.012146</v>
      </c>
      <c r="X36" s="3">
        <v>44793950788.394531</v>
      </c>
      <c r="Y36" s="4">
        <v>700750809.46224105</v>
      </c>
      <c r="Z36" s="4">
        <v>555312638.4010905</v>
      </c>
      <c r="AB36" s="3">
        <f t="shared" si="0"/>
        <v>700750809.46224105</v>
      </c>
      <c r="AC36" s="3">
        <f t="shared" si="1"/>
        <v>555312638.4010905</v>
      </c>
    </row>
    <row r="37" spans="1:29" x14ac:dyDescent="0.3">
      <c r="A37" s="30"/>
      <c r="B37" s="2">
        <v>50</v>
      </c>
      <c r="C37" s="3">
        <v>45641389257.589828</v>
      </c>
      <c r="D37" s="3">
        <v>15650579628.15917</v>
      </c>
      <c r="E37" s="3">
        <v>53005245726.506607</v>
      </c>
      <c r="F37" s="3">
        <v>21769157102.216671</v>
      </c>
      <c r="G37" s="3">
        <v>69412461105.135651</v>
      </c>
      <c r="H37" s="3">
        <v>13079797000.180241</v>
      </c>
      <c r="I37" s="3">
        <v>50403896320.977798</v>
      </c>
      <c r="J37" s="3">
        <v>15900589152.44639</v>
      </c>
      <c r="K37" s="3">
        <v>51786697869.270432</v>
      </c>
      <c r="L37" s="4">
        <v>4169282299.4623671</v>
      </c>
      <c r="M37" s="3">
        <v>105974215959.90311</v>
      </c>
      <c r="N37" s="3">
        <v>22393037101.214821</v>
      </c>
      <c r="O37" s="3">
        <v>69715063988.842056</v>
      </c>
      <c r="P37" s="3">
        <v>20040855217.324139</v>
      </c>
      <c r="Q37" s="3">
        <v>209190023209.80469</v>
      </c>
      <c r="R37" s="3">
        <v>62060436484.139076</v>
      </c>
      <c r="S37" s="3">
        <v>184917535977.26941</v>
      </c>
      <c r="T37" s="3">
        <v>35306489759.529327</v>
      </c>
      <c r="U37" s="3">
        <v>216852501330.61441</v>
      </c>
      <c r="V37" s="3">
        <v>41222213928.486</v>
      </c>
      <c r="W37" s="3">
        <v>641614106210.27014</v>
      </c>
      <c r="X37" s="3">
        <v>328418974039.81073</v>
      </c>
      <c r="Y37" s="4">
        <v>16925590862.911079</v>
      </c>
      <c r="Z37" s="3">
        <v>7338944538.6179943</v>
      </c>
      <c r="AB37" s="3">
        <f t="shared" si="0"/>
        <v>16925590862.911079</v>
      </c>
      <c r="AC37" s="3">
        <f t="shared" si="1"/>
        <v>4169282299.4623671</v>
      </c>
    </row>
    <row r="38" spans="1:29" x14ac:dyDescent="0.3">
      <c r="A38" s="30"/>
      <c r="B38" s="2">
        <v>100</v>
      </c>
      <c r="C38" s="3">
        <v>271950682528.9588</v>
      </c>
      <c r="D38" s="3">
        <v>52149489140.403648</v>
      </c>
      <c r="E38" s="3">
        <v>284939751039.68591</v>
      </c>
      <c r="F38" s="3">
        <v>84265554146.427841</v>
      </c>
      <c r="G38" s="3">
        <v>361773470119.83368</v>
      </c>
      <c r="H38" s="3">
        <v>43231749370.760674</v>
      </c>
      <c r="I38" s="3">
        <v>354955474630.28528</v>
      </c>
      <c r="J38" s="3">
        <v>72312122465.018936</v>
      </c>
      <c r="K38" s="3">
        <v>276298784699.67499</v>
      </c>
      <c r="L38" s="4">
        <v>16998105081.72444</v>
      </c>
      <c r="M38" s="3">
        <v>440034678363.38641</v>
      </c>
      <c r="N38" s="3">
        <v>66732187294.258057</v>
      </c>
      <c r="O38" s="3">
        <v>351051377374.55719</v>
      </c>
      <c r="P38" s="3">
        <v>58846612470.405617</v>
      </c>
      <c r="Q38" s="3">
        <v>914705093406.80164</v>
      </c>
      <c r="R38" s="3">
        <v>184161616007.41989</v>
      </c>
      <c r="S38" s="3">
        <v>808676771696.42151</v>
      </c>
      <c r="T38" s="3">
        <v>119069265965.7303</v>
      </c>
      <c r="U38" s="3">
        <v>822094300371.97986</v>
      </c>
      <c r="V38" s="3">
        <v>122657893536.42841</v>
      </c>
      <c r="W38" s="3">
        <v>1958900164498.625</v>
      </c>
      <c r="X38" s="3">
        <v>1146553386289.5759</v>
      </c>
      <c r="Y38" s="4">
        <v>160254580996.50311</v>
      </c>
      <c r="Z38" s="3">
        <v>25505664133.00272</v>
      </c>
      <c r="AB38" s="3">
        <f t="shared" si="0"/>
        <v>160254580996.50311</v>
      </c>
      <c r="AC38" s="3">
        <f t="shared" si="1"/>
        <v>16998105081.72444</v>
      </c>
    </row>
    <row r="39" spans="1:29" x14ac:dyDescent="0.3">
      <c r="A39" s="30" t="s">
        <v>25</v>
      </c>
      <c r="B39" s="2">
        <v>30</v>
      </c>
      <c r="C39" s="3">
        <v>6350436.7104456024</v>
      </c>
      <c r="D39" s="3">
        <v>11247684.63289745</v>
      </c>
      <c r="E39" s="3">
        <v>8420012.2883376069</v>
      </c>
      <c r="F39" s="3">
        <v>4407702.12541248</v>
      </c>
      <c r="G39" s="3">
        <v>26349192.755354829</v>
      </c>
      <c r="H39" s="3">
        <v>20755909.00121402</v>
      </c>
      <c r="I39" s="3">
        <v>3723539.5997135811</v>
      </c>
      <c r="J39" s="3">
        <v>3712422.7481695102</v>
      </c>
      <c r="K39" s="3">
        <v>8830951.3040607497</v>
      </c>
      <c r="L39" s="3">
        <v>4682774.9892814094</v>
      </c>
      <c r="M39" s="3">
        <v>52850765.35425242</v>
      </c>
      <c r="N39" s="3">
        <v>38843523.248612553</v>
      </c>
      <c r="O39" s="3">
        <v>414233.85183679027</v>
      </c>
      <c r="P39" s="4">
        <v>408512.24625089578</v>
      </c>
      <c r="Q39" s="3">
        <v>68605901.923509642</v>
      </c>
      <c r="R39" s="3">
        <v>10799302.50834807</v>
      </c>
      <c r="S39" s="3">
        <v>29300497.460081469</v>
      </c>
      <c r="T39" s="3">
        <v>20115634.800497159</v>
      </c>
      <c r="U39" s="3">
        <v>229690968.21041489</v>
      </c>
      <c r="V39" s="3">
        <v>175070968.49294341</v>
      </c>
      <c r="W39" s="3">
        <v>7323548053.0647154</v>
      </c>
      <c r="X39" s="3">
        <v>13525198440.730909</v>
      </c>
      <c r="Y39" s="4">
        <v>974906.02349184419</v>
      </c>
      <c r="Z39" s="3">
        <v>830816.95693632995</v>
      </c>
      <c r="AB39" s="3">
        <f t="shared" si="0"/>
        <v>414233.85183679027</v>
      </c>
      <c r="AC39" s="3">
        <f t="shared" si="1"/>
        <v>408512.24625089578</v>
      </c>
    </row>
    <row r="40" spans="1:29" x14ac:dyDescent="0.3">
      <c r="A40" s="30"/>
      <c r="B40" s="2">
        <v>50</v>
      </c>
      <c r="C40" s="3">
        <v>23170718.96967914</v>
      </c>
      <c r="D40" s="3">
        <v>23154203.154653709</v>
      </c>
      <c r="E40" s="3">
        <v>79266313.621433035</v>
      </c>
      <c r="F40" s="3">
        <v>39543785.582535207</v>
      </c>
      <c r="G40" s="3">
        <v>170220477.0831013</v>
      </c>
      <c r="H40" s="3">
        <v>183010501.562792</v>
      </c>
      <c r="I40" s="3">
        <v>18509992.83852122</v>
      </c>
      <c r="J40" s="3">
        <v>11810191.51122286</v>
      </c>
      <c r="K40" s="3">
        <v>14144512821.42185</v>
      </c>
      <c r="L40" s="3">
        <v>1416907047.336206</v>
      </c>
      <c r="M40" s="3">
        <v>4724408721.6695156</v>
      </c>
      <c r="N40" s="3">
        <v>3304376315.420455</v>
      </c>
      <c r="O40" s="3">
        <v>109472091.2758999</v>
      </c>
      <c r="P40" s="3">
        <v>396707684.9544521</v>
      </c>
      <c r="Q40" s="3">
        <v>251842097.3329322</v>
      </c>
      <c r="R40" s="3">
        <v>133470289.2604619</v>
      </c>
      <c r="S40" s="3">
        <v>262889205.15973979</v>
      </c>
      <c r="T40" s="3">
        <v>198906151.18784809</v>
      </c>
      <c r="U40" s="3">
        <v>4349746005.5376043</v>
      </c>
      <c r="V40" s="3">
        <v>3656752428.9021621</v>
      </c>
      <c r="W40" s="3">
        <v>45609987834.851433</v>
      </c>
      <c r="X40" s="3">
        <v>33367447568.298069</v>
      </c>
      <c r="Y40" s="4">
        <v>10376157.86401036</v>
      </c>
      <c r="Z40" s="4">
        <v>7136885.972464228</v>
      </c>
      <c r="AB40" s="3">
        <f t="shared" si="0"/>
        <v>10376157.86401036</v>
      </c>
      <c r="AC40" s="3">
        <f t="shared" si="1"/>
        <v>7136885.972464228</v>
      </c>
    </row>
    <row r="41" spans="1:29" x14ac:dyDescent="0.3">
      <c r="A41" s="30"/>
      <c r="B41" s="2">
        <v>100</v>
      </c>
      <c r="C41" s="3">
        <v>129260508.8221125</v>
      </c>
      <c r="D41" s="3">
        <v>77518901.022283927</v>
      </c>
      <c r="E41" s="3">
        <v>247061996.7437067</v>
      </c>
      <c r="F41" s="3">
        <v>102789845.9217968</v>
      </c>
      <c r="G41" s="3">
        <v>353618415.79458147</v>
      </c>
      <c r="H41" s="3">
        <v>176577395.12769869</v>
      </c>
      <c r="I41" s="3">
        <v>116350370.54152399</v>
      </c>
      <c r="J41" s="3">
        <v>51158030.258117527</v>
      </c>
      <c r="K41" s="3">
        <v>497929286.984155</v>
      </c>
      <c r="L41" s="3">
        <v>118043471.76238561</v>
      </c>
      <c r="M41" s="3">
        <v>1161936563.5055981</v>
      </c>
      <c r="N41" s="3">
        <v>443600519.53249937</v>
      </c>
      <c r="O41" s="3">
        <v>343229126.32406437</v>
      </c>
      <c r="P41" s="3">
        <v>269345211.93755221</v>
      </c>
      <c r="Q41" s="3">
        <v>757404129.20917523</v>
      </c>
      <c r="R41" s="3">
        <v>207957013.64593631</v>
      </c>
      <c r="S41" s="3">
        <v>530010531.53980899</v>
      </c>
      <c r="T41" s="3">
        <v>157904905.7339074</v>
      </c>
      <c r="U41" s="3">
        <v>1355926269.2532289</v>
      </c>
      <c r="V41" s="3">
        <v>492712257.93830281</v>
      </c>
      <c r="W41" s="3">
        <v>7744807572.1561766</v>
      </c>
      <c r="X41" s="3">
        <v>5985063958.6520872</v>
      </c>
      <c r="Y41" s="4">
        <v>29787240.10767322</v>
      </c>
      <c r="Z41" s="4">
        <v>21209956.558550201</v>
      </c>
      <c r="AB41" s="3">
        <f t="shared" si="0"/>
        <v>29787240.10767322</v>
      </c>
      <c r="AC41" s="3">
        <f t="shared" si="1"/>
        <v>21209956.558550201</v>
      </c>
    </row>
    <row r="42" spans="1:29" x14ac:dyDescent="0.3">
      <c r="A42" s="30" t="s">
        <v>26</v>
      </c>
      <c r="B42" s="2">
        <v>30</v>
      </c>
      <c r="C42" s="3">
        <v>1355595928.374635</v>
      </c>
      <c r="D42" s="3">
        <v>934043604.32852483</v>
      </c>
      <c r="E42" s="3">
        <v>2314084785.6158509</v>
      </c>
      <c r="F42" s="3">
        <v>1466659959.6155031</v>
      </c>
      <c r="G42" s="3">
        <v>5395319766.9576273</v>
      </c>
      <c r="H42" s="3">
        <v>2588149583.139575</v>
      </c>
      <c r="I42" s="3">
        <v>931974282.63383067</v>
      </c>
      <c r="J42" s="3">
        <v>535184234.00930363</v>
      </c>
      <c r="K42" s="3">
        <v>4381570264.2396879</v>
      </c>
      <c r="L42" s="3">
        <v>1095609038.5294001</v>
      </c>
      <c r="M42" s="3">
        <v>11734609211.632351</v>
      </c>
      <c r="N42" s="3">
        <v>3017423118.251606</v>
      </c>
      <c r="O42" s="3">
        <v>5173305351.3202877</v>
      </c>
      <c r="P42" s="3">
        <v>2127544514.225208</v>
      </c>
      <c r="Q42" s="3">
        <v>22763093495.929131</v>
      </c>
      <c r="R42" s="3">
        <v>5410901418.4460821</v>
      </c>
      <c r="S42" s="3">
        <v>13634524325.596769</v>
      </c>
      <c r="T42" s="3">
        <v>5123846959.1615295</v>
      </c>
      <c r="U42" s="3">
        <v>20906147261.00032</v>
      </c>
      <c r="V42" s="3">
        <v>6360380117.858963</v>
      </c>
      <c r="W42" s="3">
        <v>69147318145.397873</v>
      </c>
      <c r="X42" s="3">
        <v>40928288174.132103</v>
      </c>
      <c r="Y42" s="4">
        <v>110743224.84174161</v>
      </c>
      <c r="Z42" s="4">
        <v>110623113.9545546</v>
      </c>
      <c r="AB42" s="3">
        <f t="shared" si="0"/>
        <v>110743224.84174161</v>
      </c>
      <c r="AC42" s="3">
        <f t="shared" si="1"/>
        <v>110623113.9545546</v>
      </c>
    </row>
    <row r="43" spans="1:29" x14ac:dyDescent="0.3">
      <c r="A43" s="30"/>
      <c r="B43" s="2">
        <v>50</v>
      </c>
      <c r="C43" s="3">
        <v>13071436085.227949</v>
      </c>
      <c r="D43" s="3">
        <v>4530745249.3775635</v>
      </c>
      <c r="E43" s="3">
        <v>13762389059.21394</v>
      </c>
      <c r="F43" s="3">
        <v>5399034755.6446962</v>
      </c>
      <c r="G43" s="3">
        <v>24740426879.440781</v>
      </c>
      <c r="H43" s="3">
        <v>7728663239.5863075</v>
      </c>
      <c r="I43" s="3">
        <v>9689152077.2688961</v>
      </c>
      <c r="J43" s="3">
        <v>3577714316.5389071</v>
      </c>
      <c r="K43" s="3">
        <v>21058037806.535851</v>
      </c>
      <c r="L43" s="4">
        <v>895536267.41283441</v>
      </c>
      <c r="M43" s="3">
        <v>37608346745.862427</v>
      </c>
      <c r="N43" s="3">
        <v>8794580161.6075058</v>
      </c>
      <c r="O43" s="3">
        <v>26998933573.956791</v>
      </c>
      <c r="P43" s="3">
        <v>6218849993.4518986</v>
      </c>
      <c r="Q43" s="3">
        <v>73841261499.341034</v>
      </c>
      <c r="R43" s="3">
        <v>14166993308.326799</v>
      </c>
      <c r="S43" s="3">
        <v>53340925719.490173</v>
      </c>
      <c r="T43" s="3">
        <v>9646887317.1575947</v>
      </c>
      <c r="U43" s="3">
        <v>67150102676.03495</v>
      </c>
      <c r="V43" s="3">
        <v>18106414731.363621</v>
      </c>
      <c r="W43" s="3">
        <v>153242564783.44199</v>
      </c>
      <c r="X43" s="3">
        <v>54614133112.984993</v>
      </c>
      <c r="Y43" s="4">
        <v>3182196666.8604188</v>
      </c>
      <c r="Z43" s="3">
        <v>1508234748.3973391</v>
      </c>
      <c r="AB43" s="3">
        <f t="shared" si="0"/>
        <v>3182196666.8604188</v>
      </c>
      <c r="AC43" s="3">
        <f t="shared" si="1"/>
        <v>895536267.41283441</v>
      </c>
    </row>
    <row r="44" spans="1:29" x14ac:dyDescent="0.3">
      <c r="A44" s="30"/>
      <c r="B44" s="2">
        <v>100</v>
      </c>
      <c r="C44" s="3">
        <v>44482911339.546883</v>
      </c>
      <c r="D44" s="3">
        <v>8445239974.7805929</v>
      </c>
      <c r="E44" s="3">
        <v>50101112008.616173</v>
      </c>
      <c r="F44" s="3">
        <v>14690844406.99507</v>
      </c>
      <c r="G44" s="3">
        <v>56174585065.144981</v>
      </c>
      <c r="H44" s="3">
        <v>8033065610.5124817</v>
      </c>
      <c r="I44" s="3">
        <v>77797109198.921936</v>
      </c>
      <c r="J44" s="3">
        <v>17401482053.351952</v>
      </c>
      <c r="K44" s="3">
        <v>40895536188.849922</v>
      </c>
      <c r="L44" s="4">
        <v>5402687217.2783718</v>
      </c>
      <c r="M44" s="3">
        <v>75870721334.931808</v>
      </c>
      <c r="N44" s="3">
        <v>15372431274.42956</v>
      </c>
      <c r="O44" s="3">
        <v>54341079414.22168</v>
      </c>
      <c r="P44" s="3">
        <v>6688713595.1941328</v>
      </c>
      <c r="Q44" s="3">
        <v>173969214153.3118</v>
      </c>
      <c r="R44" s="3">
        <v>33270497108.155399</v>
      </c>
      <c r="S44" s="3">
        <v>158397799705.49509</v>
      </c>
      <c r="T44" s="3">
        <v>20583206016.63184</v>
      </c>
      <c r="U44" s="3">
        <v>166064158558.48969</v>
      </c>
      <c r="V44" s="3">
        <v>22962779581.826511</v>
      </c>
      <c r="W44" s="3">
        <v>262120990944.64859</v>
      </c>
      <c r="X44" s="3">
        <v>75071829376.678452</v>
      </c>
      <c r="Y44" s="4">
        <v>22757275077.133961</v>
      </c>
      <c r="Z44" s="3">
        <v>6486738616.9184637</v>
      </c>
      <c r="AB44" s="3">
        <f t="shared" si="0"/>
        <v>22757275077.133961</v>
      </c>
      <c r="AC44" s="3">
        <f t="shared" si="1"/>
        <v>5402687217.2783718</v>
      </c>
    </row>
    <row r="45" spans="1:29" x14ac:dyDescent="0.3">
      <c r="A45" s="30" t="s">
        <v>27</v>
      </c>
      <c r="B45" s="2">
        <v>30</v>
      </c>
      <c r="C45" s="3">
        <v>477123624.75750929</v>
      </c>
      <c r="D45" s="3">
        <v>1359797797.026927</v>
      </c>
      <c r="E45" s="3">
        <v>291305263.12806731</v>
      </c>
      <c r="F45" s="3">
        <v>358861955.33519202</v>
      </c>
      <c r="G45" s="3">
        <v>1887011658.912915</v>
      </c>
      <c r="H45" s="3">
        <v>2381059955.77913</v>
      </c>
      <c r="I45" s="3">
        <v>46467591.033014067</v>
      </c>
      <c r="J45" s="3">
        <v>39712345.022120602</v>
      </c>
      <c r="K45" s="3">
        <v>2507085308.0863409</v>
      </c>
      <c r="L45" s="3">
        <v>1024139042.315833</v>
      </c>
      <c r="M45" s="3">
        <v>11803838553.53491</v>
      </c>
      <c r="N45" s="3">
        <v>9177211092.8582382</v>
      </c>
      <c r="O45" s="3">
        <v>1758144948.5138559</v>
      </c>
      <c r="P45" s="3">
        <v>3053264622.2015972</v>
      </c>
      <c r="Q45" s="3">
        <v>34498727129.615379</v>
      </c>
      <c r="R45" s="3">
        <v>19928291027.591301</v>
      </c>
      <c r="S45" s="3">
        <v>9172976112.3641224</v>
      </c>
      <c r="T45" s="3">
        <v>5806227791.5512457</v>
      </c>
      <c r="U45" s="3">
        <v>25019953308.85844</v>
      </c>
      <c r="V45" s="3">
        <v>14330689936.98325</v>
      </c>
      <c r="W45" s="3">
        <v>308436539948.99988</v>
      </c>
      <c r="X45" s="3">
        <v>427749928465.77789</v>
      </c>
      <c r="Y45" s="4">
        <v>3698748.8490752908</v>
      </c>
      <c r="Z45" s="4">
        <v>4960586.4038473004</v>
      </c>
      <c r="AB45" s="3">
        <f t="shared" si="0"/>
        <v>3698748.8490752908</v>
      </c>
      <c r="AC45" s="3">
        <f t="shared" si="1"/>
        <v>4960586.4038473004</v>
      </c>
    </row>
    <row r="46" spans="1:29" x14ac:dyDescent="0.3">
      <c r="A46" s="30"/>
      <c r="B46" s="2">
        <v>50</v>
      </c>
      <c r="C46" s="3">
        <v>4412350428.4221144</v>
      </c>
      <c r="D46" s="3">
        <v>4010520833.7536898</v>
      </c>
      <c r="E46" s="3">
        <v>4595107987.6846552</v>
      </c>
      <c r="F46" s="3">
        <v>4806445509.4443779</v>
      </c>
      <c r="G46" s="3">
        <v>22531403601.847149</v>
      </c>
      <c r="H46" s="3">
        <v>12144400173.862829</v>
      </c>
      <c r="I46" s="3">
        <v>1607129471.9451959</v>
      </c>
      <c r="J46" s="3">
        <v>1386500439.6388841</v>
      </c>
      <c r="K46" s="3">
        <v>40656561506.578003</v>
      </c>
      <c r="L46" s="3">
        <v>6534358419.5662661</v>
      </c>
      <c r="M46" s="3">
        <v>101214784837.47749</v>
      </c>
      <c r="N46" s="3">
        <v>38254348552.06588</v>
      </c>
      <c r="O46" s="3">
        <v>41775406651.361214</v>
      </c>
      <c r="P46" s="3">
        <v>29606084509.294621</v>
      </c>
      <c r="Q46" s="3">
        <v>165812236600.02109</v>
      </c>
      <c r="R46" s="3">
        <v>53546521739.38308</v>
      </c>
      <c r="S46" s="3">
        <v>81216004147.617157</v>
      </c>
      <c r="T46" s="3">
        <v>36770106467.713608</v>
      </c>
      <c r="U46" s="3">
        <v>137308404341.4084</v>
      </c>
      <c r="V46" s="3">
        <v>51626778581.736649</v>
      </c>
      <c r="W46" s="3">
        <v>819881259706.7782</v>
      </c>
      <c r="X46" s="3">
        <v>483398637346.10883</v>
      </c>
      <c r="Y46" s="4">
        <v>669064514.44916904</v>
      </c>
      <c r="Z46" s="4">
        <v>868945230.81115735</v>
      </c>
      <c r="AB46" s="3">
        <f t="shared" si="0"/>
        <v>669064514.44916904</v>
      </c>
      <c r="AC46" s="3">
        <f t="shared" si="1"/>
        <v>868945230.81115735</v>
      </c>
    </row>
    <row r="47" spans="1:29" x14ac:dyDescent="0.3">
      <c r="A47" s="30"/>
      <c r="B47" s="2">
        <v>100</v>
      </c>
      <c r="C47" s="3">
        <v>8309585580.721508</v>
      </c>
      <c r="D47" s="3">
        <v>3517567643.6131282</v>
      </c>
      <c r="E47" s="3">
        <v>9573351709.6415825</v>
      </c>
      <c r="F47" s="3">
        <v>4823106885.1290703</v>
      </c>
      <c r="G47" s="3">
        <v>15805937715.05497</v>
      </c>
      <c r="H47" s="3">
        <v>3642622807.5946331</v>
      </c>
      <c r="I47" s="3">
        <v>11000879551.709351</v>
      </c>
      <c r="J47" s="3">
        <v>6544858510.6310539</v>
      </c>
      <c r="K47" s="3">
        <v>8950309172.7062283</v>
      </c>
      <c r="L47" s="4">
        <v>1214744113.7132571</v>
      </c>
      <c r="M47" s="3">
        <v>23959114034.686501</v>
      </c>
      <c r="N47" s="3">
        <v>6060220936.8049879</v>
      </c>
      <c r="O47" s="3">
        <v>13114064509.688761</v>
      </c>
      <c r="P47" s="3">
        <v>4224588597.9338908</v>
      </c>
      <c r="Q47" s="3">
        <v>84366327915.125671</v>
      </c>
      <c r="R47" s="3">
        <v>24749546577.465858</v>
      </c>
      <c r="S47" s="3">
        <v>65260865996.616402</v>
      </c>
      <c r="T47" s="3">
        <v>15613671297.524481</v>
      </c>
      <c r="U47" s="3">
        <v>78831618903.761826</v>
      </c>
      <c r="V47" s="3">
        <v>14785661606.82357</v>
      </c>
      <c r="W47" s="3">
        <v>204782239762.39331</v>
      </c>
      <c r="X47" s="3">
        <v>96872542124.322327</v>
      </c>
      <c r="Y47" s="4">
        <v>2436405103.848721</v>
      </c>
      <c r="Z47" s="3">
        <v>1366564945.214571</v>
      </c>
      <c r="AB47" s="3">
        <f t="shared" si="0"/>
        <v>2436405103.848721</v>
      </c>
      <c r="AC47" s="3">
        <f t="shared" si="1"/>
        <v>1214744113.7132571</v>
      </c>
    </row>
    <row r="48" spans="1:29" x14ac:dyDescent="0.3">
      <c r="A48" s="30" t="s">
        <v>28</v>
      </c>
      <c r="B48" s="2">
        <v>30</v>
      </c>
      <c r="C48" s="3">
        <v>463113297601.17792</v>
      </c>
      <c r="D48" s="3">
        <v>1248682115136.417</v>
      </c>
      <c r="E48" s="3">
        <v>1458776747397.103</v>
      </c>
      <c r="F48" s="3">
        <v>3371876034699.3442</v>
      </c>
      <c r="G48" s="3">
        <v>677885900299798</v>
      </c>
      <c r="H48" s="3">
        <v>1437307836043835</v>
      </c>
      <c r="I48" s="3">
        <v>1109620199.8480511</v>
      </c>
      <c r="J48" s="3">
        <v>3000620851.0762811</v>
      </c>
      <c r="K48" s="3">
        <v>1356682993380606</v>
      </c>
      <c r="L48" s="3">
        <v>641103566913441.88</v>
      </c>
      <c r="M48" s="3">
        <v>1.172746533504119E+16</v>
      </c>
      <c r="N48" s="3">
        <v>1.9801514403312768E+16</v>
      </c>
      <c r="O48" s="3">
        <v>293524421213999.63</v>
      </c>
      <c r="P48" s="3">
        <v>896688357420669</v>
      </c>
      <c r="Q48" s="3">
        <v>371800048317008.63</v>
      </c>
      <c r="R48" s="3">
        <v>630326729591018.75</v>
      </c>
      <c r="S48" s="3">
        <v>174433913466207.69</v>
      </c>
      <c r="T48" s="3">
        <v>310813223049426.31</v>
      </c>
      <c r="U48" s="3">
        <v>1.472057327192629E+16</v>
      </c>
      <c r="V48" s="3">
        <v>2.580934705833058E+16</v>
      </c>
      <c r="W48" s="3">
        <v>1.1001264694136799E+19</v>
      </c>
      <c r="X48" s="3">
        <v>1.643310034439627E+19</v>
      </c>
      <c r="Y48" s="4">
        <v>259307.29782549539</v>
      </c>
      <c r="Z48" s="4">
        <v>674026.10602916544</v>
      </c>
      <c r="AB48" s="3">
        <f t="shared" si="0"/>
        <v>259307.29782549539</v>
      </c>
      <c r="AC48" s="3">
        <f t="shared" si="1"/>
        <v>674026.10602916544</v>
      </c>
    </row>
    <row r="49" spans="1:29" x14ac:dyDescent="0.3">
      <c r="A49" s="30"/>
      <c r="B49" s="2">
        <v>50</v>
      </c>
      <c r="C49" s="3">
        <v>667565581233.1781</v>
      </c>
      <c r="D49" s="3">
        <v>1370242145644.1069</v>
      </c>
      <c r="E49" s="3">
        <v>8980725701197.666</v>
      </c>
      <c r="F49" s="3">
        <v>14983588415476.221</v>
      </c>
      <c r="G49" s="3">
        <v>11346222731961.859</v>
      </c>
      <c r="H49" s="3">
        <v>16243171190407.16</v>
      </c>
      <c r="I49" s="3">
        <v>357958669394.93628</v>
      </c>
      <c r="J49" s="3">
        <v>533991102397.27399</v>
      </c>
      <c r="K49" s="3">
        <v>281649221728.56189</v>
      </c>
      <c r="L49" s="3">
        <v>241682274142.99469</v>
      </c>
      <c r="M49" s="3">
        <v>295835622525960.19</v>
      </c>
      <c r="N49" s="3">
        <v>319026779508715</v>
      </c>
      <c r="O49" s="3">
        <v>5021015504764.7852</v>
      </c>
      <c r="P49" s="3">
        <v>8843466784693.0371</v>
      </c>
      <c r="Q49" s="3">
        <v>1763828012987244</v>
      </c>
      <c r="R49" s="3">
        <v>976584820816443</v>
      </c>
      <c r="S49" s="3">
        <v>456448103493051.88</v>
      </c>
      <c r="T49" s="3">
        <v>380794831365957.69</v>
      </c>
      <c r="U49" s="3">
        <v>2582499247462220</v>
      </c>
      <c r="V49" s="3">
        <v>2430349899107794</v>
      </c>
      <c r="W49" s="3">
        <v>1.299876815919905E+17</v>
      </c>
      <c r="X49" s="3">
        <v>2.449423247866639E+17</v>
      </c>
      <c r="Y49" s="4">
        <v>604393807.43717468</v>
      </c>
      <c r="Z49" s="4">
        <v>1939091315.6583259</v>
      </c>
      <c r="AB49" s="3">
        <f t="shared" si="0"/>
        <v>604393807.43717468</v>
      </c>
      <c r="AC49" s="3">
        <f t="shared" si="1"/>
        <v>1939091315.6583259</v>
      </c>
    </row>
    <row r="50" spans="1:29" x14ac:dyDescent="0.3">
      <c r="A50" s="30"/>
      <c r="B50" s="2">
        <v>100</v>
      </c>
      <c r="C50" s="3">
        <v>2621118163393329</v>
      </c>
      <c r="D50" s="3">
        <v>2498458715193834</v>
      </c>
      <c r="E50" s="3">
        <v>3140415646954664</v>
      </c>
      <c r="F50" s="3">
        <v>2993929461934080</v>
      </c>
      <c r="G50" s="3">
        <v>9118579006574916</v>
      </c>
      <c r="H50" s="3">
        <v>5216473436064856</v>
      </c>
      <c r="I50" s="3">
        <v>586920738828207.25</v>
      </c>
      <c r="J50" s="3">
        <v>755397510978751.13</v>
      </c>
      <c r="K50" s="3">
        <v>3045107877174478</v>
      </c>
      <c r="L50" s="3">
        <v>846386855256913.63</v>
      </c>
      <c r="M50" s="3">
        <v>3.382599600749132E+16</v>
      </c>
      <c r="N50" s="3">
        <v>2.295427692169778E+16</v>
      </c>
      <c r="O50" s="3">
        <v>8438532028867258</v>
      </c>
      <c r="P50" s="3">
        <v>6466884079887649</v>
      </c>
      <c r="Q50" s="3">
        <v>1.439104456790928E+17</v>
      </c>
      <c r="R50" s="3">
        <v>1.031164732858351E+17</v>
      </c>
      <c r="S50" s="3">
        <v>4.5593633521168728E+16</v>
      </c>
      <c r="T50" s="3">
        <v>2.759973220286886E+16</v>
      </c>
      <c r="U50" s="3">
        <v>1.5827644737525798E+17</v>
      </c>
      <c r="V50" s="3">
        <v>1.001404127069276E+17</v>
      </c>
      <c r="W50" s="3">
        <v>2.5539792850258458E+18</v>
      </c>
      <c r="X50" s="3">
        <v>2.881489442100949E+18</v>
      </c>
      <c r="Y50" s="4">
        <v>101655932521138.91</v>
      </c>
      <c r="Z50" s="4">
        <v>139624660247485.8</v>
      </c>
      <c r="AB50" s="3">
        <f t="shared" si="0"/>
        <v>101655932521138.91</v>
      </c>
      <c r="AC50" s="3">
        <f t="shared" si="1"/>
        <v>139624660247485.8</v>
      </c>
    </row>
    <row r="51" spans="1:29" x14ac:dyDescent="0.3">
      <c r="A51" s="30" t="s">
        <v>29</v>
      </c>
      <c r="B51" s="2">
        <v>30</v>
      </c>
      <c r="C51" s="4">
        <v>130271.4600081815</v>
      </c>
      <c r="D51" s="4">
        <v>58554.323719023538</v>
      </c>
      <c r="E51" s="3">
        <v>5841554.8287747288</v>
      </c>
      <c r="F51" s="3">
        <v>5259483.8535306593</v>
      </c>
      <c r="G51" s="3">
        <v>7014084.6661461601</v>
      </c>
      <c r="H51" s="3">
        <v>8177643.3790749963</v>
      </c>
      <c r="I51" s="3">
        <v>2030023.611007669</v>
      </c>
      <c r="J51" s="3">
        <v>2127988.3971498809</v>
      </c>
      <c r="K51" s="3">
        <v>9220690.3109054659</v>
      </c>
      <c r="L51" s="3">
        <v>3320603.8883744902</v>
      </c>
      <c r="M51" s="3">
        <v>213537514.25254291</v>
      </c>
      <c r="N51" s="3">
        <v>246909973.34103981</v>
      </c>
      <c r="O51" s="3">
        <v>219889.53115929791</v>
      </c>
      <c r="P51" s="3">
        <v>369262.27381406468</v>
      </c>
      <c r="Q51" s="3">
        <v>78621054.255177706</v>
      </c>
      <c r="R51" s="3">
        <v>15144580.24051699</v>
      </c>
      <c r="S51" s="3">
        <v>11525423.356130799</v>
      </c>
      <c r="T51" s="3">
        <v>10751000.23102979</v>
      </c>
      <c r="U51" s="3">
        <v>372263031.00763452</v>
      </c>
      <c r="V51" s="3">
        <v>321478176.67349303</v>
      </c>
      <c r="W51" s="3">
        <v>6302248230.1409702</v>
      </c>
      <c r="X51" s="3">
        <v>7375696766.30933</v>
      </c>
      <c r="Y51" s="3">
        <v>180865.54085706259</v>
      </c>
      <c r="Z51" s="3">
        <v>90058.603189486064</v>
      </c>
      <c r="AB51" s="3">
        <f t="shared" si="0"/>
        <v>130271.4600081815</v>
      </c>
      <c r="AC51" s="3">
        <f t="shared" si="1"/>
        <v>58554.323719023538</v>
      </c>
    </row>
    <row r="52" spans="1:29" x14ac:dyDescent="0.3">
      <c r="A52" s="30"/>
      <c r="B52" s="2">
        <v>50</v>
      </c>
      <c r="C52" s="3">
        <v>4091432.1478140401</v>
      </c>
      <c r="D52" s="3">
        <v>3333073.4686186351</v>
      </c>
      <c r="E52" s="3">
        <v>17037108.743743639</v>
      </c>
      <c r="F52" s="3">
        <v>12076628.02780656</v>
      </c>
      <c r="G52" s="3">
        <v>35346841.704240687</v>
      </c>
      <c r="H52" s="3">
        <v>43185682.707641028</v>
      </c>
      <c r="I52" s="3">
        <v>6850817.9513578117</v>
      </c>
      <c r="J52" s="3">
        <v>5422384.6178292222</v>
      </c>
      <c r="K52" s="3">
        <v>45668367.836763009</v>
      </c>
      <c r="L52" s="3">
        <v>30177055.624583919</v>
      </c>
      <c r="M52" s="3">
        <v>471762873.57864523</v>
      </c>
      <c r="N52" s="3">
        <v>473060613.51762992</v>
      </c>
      <c r="O52" s="3">
        <v>4522081.1040513851</v>
      </c>
      <c r="P52" s="3">
        <v>12809163.904476769</v>
      </c>
      <c r="Q52" s="3">
        <v>202918863.95867079</v>
      </c>
      <c r="R52" s="3">
        <v>18290329.95433728</v>
      </c>
      <c r="S52" s="3">
        <v>53764866.809147343</v>
      </c>
      <c r="T52" s="3">
        <v>32883472.395348702</v>
      </c>
      <c r="U52" s="3">
        <v>885355455.54896212</v>
      </c>
      <c r="V52" s="3">
        <v>644119628.13235259</v>
      </c>
      <c r="W52" s="3">
        <v>8548325034.0212746</v>
      </c>
      <c r="X52" s="3">
        <v>10482214390.06288</v>
      </c>
      <c r="Y52" s="4">
        <v>1403119.494291163</v>
      </c>
      <c r="Z52" s="4">
        <v>1238373.447782028</v>
      </c>
      <c r="AB52" s="3">
        <f t="shared" si="0"/>
        <v>1403119.494291163</v>
      </c>
      <c r="AC52" s="3">
        <f t="shared" si="1"/>
        <v>1238373.447782028</v>
      </c>
    </row>
    <row r="53" spans="1:29" x14ac:dyDescent="0.3">
      <c r="A53" s="30"/>
      <c r="B53" s="2">
        <v>100</v>
      </c>
      <c r="C53" s="3">
        <v>75534713.589320987</v>
      </c>
      <c r="D53" s="3">
        <v>65087143.641034782</v>
      </c>
      <c r="E53" s="3">
        <v>223018697.7333484</v>
      </c>
      <c r="F53" s="3">
        <v>106808271.7483076</v>
      </c>
      <c r="G53" s="3">
        <v>718280857.62792444</v>
      </c>
      <c r="H53" s="3">
        <v>778645784.90869975</v>
      </c>
      <c r="I53" s="3">
        <v>95321224.801156223</v>
      </c>
      <c r="J53" s="3">
        <v>52839561.654037379</v>
      </c>
      <c r="K53" s="3">
        <v>1976477196.1045251</v>
      </c>
      <c r="L53" s="3">
        <v>399894235.79840028</v>
      </c>
      <c r="M53" s="3">
        <v>2879790811.904357</v>
      </c>
      <c r="N53" s="3">
        <v>1822004401.8228109</v>
      </c>
      <c r="O53" s="3">
        <v>109127062.5117979</v>
      </c>
      <c r="P53" s="3">
        <v>222959459.68972969</v>
      </c>
      <c r="Q53" s="3">
        <v>1072305092.419698</v>
      </c>
      <c r="R53" s="3">
        <v>483283238.22866952</v>
      </c>
      <c r="S53" s="3">
        <v>525029253.43651003</v>
      </c>
      <c r="T53" s="3">
        <v>266684503.3130261</v>
      </c>
      <c r="U53" s="3">
        <v>3591393699.755012</v>
      </c>
      <c r="V53" s="3">
        <v>2030075454.658484</v>
      </c>
      <c r="W53" s="3">
        <v>25877621634.725361</v>
      </c>
      <c r="X53" s="3">
        <v>18266559260.305641</v>
      </c>
      <c r="Y53" s="4">
        <v>15198142.68252138</v>
      </c>
      <c r="Z53" s="4">
        <v>10291525.594033349</v>
      </c>
      <c r="AB53" s="3">
        <f t="shared" si="0"/>
        <v>15198142.68252138</v>
      </c>
      <c r="AC53" s="3">
        <f t="shared" si="1"/>
        <v>10291525.594033349</v>
      </c>
    </row>
    <row r="54" spans="1:29" x14ac:dyDescent="0.3">
      <c r="A54" s="30" t="s">
        <v>30</v>
      </c>
      <c r="B54" s="2">
        <v>30</v>
      </c>
      <c r="C54" s="3">
        <v>5522197297203.5254</v>
      </c>
      <c r="D54" s="3">
        <v>20381651992404.469</v>
      </c>
      <c r="E54" s="3">
        <v>625259253695.01611</v>
      </c>
      <c r="F54" s="3">
        <v>2154823520397.627</v>
      </c>
      <c r="G54" s="3">
        <v>497120421015306.31</v>
      </c>
      <c r="H54" s="3">
        <v>1327831302501210</v>
      </c>
      <c r="I54" s="3">
        <v>37410473822.549316</v>
      </c>
      <c r="J54" s="3">
        <v>22539922272.1637</v>
      </c>
      <c r="K54" s="3">
        <v>311360437215483.88</v>
      </c>
      <c r="L54" s="3">
        <v>231210155490350.59</v>
      </c>
      <c r="M54" s="3">
        <v>7349175571714419</v>
      </c>
      <c r="N54" s="3">
        <v>1.141770329364232E+16</v>
      </c>
      <c r="O54" s="3">
        <v>243180164637244.5</v>
      </c>
      <c r="P54" s="3">
        <v>1100978850912508</v>
      </c>
      <c r="Q54" s="3">
        <v>2.9592922408038088E+16</v>
      </c>
      <c r="R54" s="3">
        <v>5.0915525432780336E+16</v>
      </c>
      <c r="S54" s="3">
        <v>536770761970212.13</v>
      </c>
      <c r="T54" s="3">
        <v>597973502146334.63</v>
      </c>
      <c r="U54" s="3">
        <v>3.5223219144966248E+16</v>
      </c>
      <c r="V54" s="3">
        <v>4.1147345781180752E+16</v>
      </c>
      <c r="W54" s="3">
        <v>6.7529858655015916E+18</v>
      </c>
      <c r="X54" s="3">
        <v>1.7632060807143229E+19</v>
      </c>
      <c r="Y54" s="4">
        <v>5986537089.7425795</v>
      </c>
      <c r="Z54" s="4">
        <v>15900659814.717131</v>
      </c>
      <c r="AB54" s="3">
        <f t="shared" si="0"/>
        <v>5986537089.7425795</v>
      </c>
      <c r="AC54" s="3">
        <f t="shared" si="1"/>
        <v>15900659814.717131</v>
      </c>
    </row>
    <row r="55" spans="1:29" x14ac:dyDescent="0.3">
      <c r="A55" s="30"/>
      <c r="B55" s="2">
        <v>50</v>
      </c>
      <c r="C55" s="3">
        <v>284604848333404.38</v>
      </c>
      <c r="D55" s="3">
        <v>966085991225291.63</v>
      </c>
      <c r="E55" s="3">
        <v>231844885518177.09</v>
      </c>
      <c r="F55" s="3">
        <v>454891630155764.19</v>
      </c>
      <c r="G55" s="3">
        <v>3339542171169092</v>
      </c>
      <c r="H55" s="3">
        <v>6438881304355893</v>
      </c>
      <c r="I55" s="3">
        <v>17137076497647.57</v>
      </c>
      <c r="J55" s="3">
        <v>52589130440087.438</v>
      </c>
      <c r="K55" s="3">
        <v>3041915872736684</v>
      </c>
      <c r="L55" s="3">
        <v>1702475931343518</v>
      </c>
      <c r="M55" s="3">
        <v>8.1636374197899808E+16</v>
      </c>
      <c r="N55" s="3">
        <v>1.087561524889585E+17</v>
      </c>
      <c r="O55" s="3">
        <v>3158100986397190</v>
      </c>
      <c r="P55" s="3">
        <v>5467110604268447</v>
      </c>
      <c r="Q55" s="3">
        <v>3.3957020988490227E+17</v>
      </c>
      <c r="R55" s="3">
        <v>3.6508968771290707E+17</v>
      </c>
      <c r="S55" s="3">
        <v>6.1183764282161528E+16</v>
      </c>
      <c r="T55" s="3">
        <v>5.4503224227045456E+16</v>
      </c>
      <c r="U55" s="3">
        <v>3.5506505322062739E+17</v>
      </c>
      <c r="V55" s="3">
        <v>4.4143779384222592E+17</v>
      </c>
      <c r="W55" s="3">
        <v>2.4985183811207422E+19</v>
      </c>
      <c r="X55" s="3">
        <v>8.0398534268254044E+19</v>
      </c>
      <c r="Y55" s="4">
        <v>207898792384.3746</v>
      </c>
      <c r="Z55" s="4">
        <v>463639347346.74249</v>
      </c>
      <c r="AB55" s="3">
        <f t="shared" si="0"/>
        <v>207898792384.3746</v>
      </c>
      <c r="AC55" s="3">
        <f t="shared" si="1"/>
        <v>463639347346.74249</v>
      </c>
    </row>
    <row r="56" spans="1:29" x14ac:dyDescent="0.3">
      <c r="A56" s="30"/>
      <c r="B56" s="2">
        <v>100</v>
      </c>
      <c r="C56" s="3">
        <v>1290206688115452</v>
      </c>
      <c r="D56" s="3">
        <v>1359151821066130</v>
      </c>
      <c r="E56" s="3">
        <v>1116430556200735</v>
      </c>
      <c r="F56" s="3">
        <v>1618932763393878</v>
      </c>
      <c r="G56" s="3">
        <v>5924539443105873</v>
      </c>
      <c r="H56" s="3">
        <v>4994895175323243</v>
      </c>
      <c r="I56" s="3">
        <v>911224103160806.13</v>
      </c>
      <c r="J56" s="3">
        <v>1961559283742768</v>
      </c>
      <c r="K56" s="3">
        <v>1523724546516106</v>
      </c>
      <c r="L56" s="3">
        <v>342923050908872.19</v>
      </c>
      <c r="M56" s="3">
        <v>1.747657386600303E+16</v>
      </c>
      <c r="N56" s="3">
        <v>1.08778744525701E+16</v>
      </c>
      <c r="O56" s="3">
        <v>4091625646519118</v>
      </c>
      <c r="P56" s="3">
        <v>3298343421395652</v>
      </c>
      <c r="Q56" s="3">
        <v>1.0542513017319741E+17</v>
      </c>
      <c r="R56" s="3">
        <v>6.2855623669933248E+16</v>
      </c>
      <c r="S56" s="3">
        <v>5.0111950363688832E+16</v>
      </c>
      <c r="T56" s="3">
        <v>3.51946571505845E+16</v>
      </c>
      <c r="U56" s="3">
        <v>1.329244959106615E+17</v>
      </c>
      <c r="V56" s="3">
        <v>8.9270021237242304E+16</v>
      </c>
      <c r="W56" s="3">
        <v>1.3629548562555991E+18</v>
      </c>
      <c r="X56" s="3">
        <v>1.441432933152105E+18</v>
      </c>
      <c r="Y56" s="4">
        <v>88221859103790.672</v>
      </c>
      <c r="Z56" s="4">
        <v>91894053993684.078</v>
      </c>
      <c r="AB56" s="3">
        <f t="shared" si="0"/>
        <v>88221859103790.672</v>
      </c>
      <c r="AC56" s="3">
        <f t="shared" si="1"/>
        <v>91894053993684.078</v>
      </c>
    </row>
    <row r="57" spans="1:29" x14ac:dyDescent="0.3">
      <c r="A57" s="30" t="s">
        <v>31</v>
      </c>
      <c r="B57" s="2">
        <v>30</v>
      </c>
      <c r="C57" s="3">
        <v>13220.947942211809</v>
      </c>
      <c r="D57" s="3">
        <v>5021.0970622280884</v>
      </c>
      <c r="E57" s="3">
        <v>10050.10299326944</v>
      </c>
      <c r="F57" s="3">
        <v>3327.099423402326</v>
      </c>
      <c r="G57" s="3">
        <v>11050.220479033869</v>
      </c>
      <c r="H57" s="3">
        <v>2960.9773981663179</v>
      </c>
      <c r="I57" s="3">
        <v>10881.427556901561</v>
      </c>
      <c r="J57" s="3">
        <v>2477.698969048211</v>
      </c>
      <c r="K57" s="3">
        <v>16238.8332317885</v>
      </c>
      <c r="L57" s="3">
        <v>2944.0465725242138</v>
      </c>
      <c r="M57" s="3">
        <v>16591.088783941232</v>
      </c>
      <c r="N57" s="3">
        <v>4303.8081926106843</v>
      </c>
      <c r="O57" s="3">
        <v>8488.6442902423132</v>
      </c>
      <c r="P57" s="3">
        <v>3091.6145719722549</v>
      </c>
      <c r="Q57" s="3">
        <v>36615.48786826252</v>
      </c>
      <c r="R57" s="3">
        <v>8600.795270975339</v>
      </c>
      <c r="S57" s="3">
        <v>27355.273512112919</v>
      </c>
      <c r="T57" s="3">
        <v>5247.6212646710565</v>
      </c>
      <c r="U57" s="3">
        <v>37321.522901187549</v>
      </c>
      <c r="V57" s="3">
        <v>8320.1433045278318</v>
      </c>
      <c r="W57" s="3">
        <v>75267.2038387004</v>
      </c>
      <c r="X57" s="3">
        <v>29650.91691176626</v>
      </c>
      <c r="Y57" s="4">
        <v>5934.8641164982137</v>
      </c>
      <c r="Z57" s="4">
        <v>1347.981696643066</v>
      </c>
      <c r="AB57" s="3">
        <f t="shared" si="0"/>
        <v>5934.8641164982137</v>
      </c>
      <c r="AC57" s="3">
        <f t="shared" si="1"/>
        <v>1347.981696643066</v>
      </c>
    </row>
    <row r="58" spans="1:29" x14ac:dyDescent="0.3">
      <c r="A58" s="30"/>
      <c r="B58" s="2">
        <v>50</v>
      </c>
      <c r="C58" s="3">
        <v>13039.55628049497</v>
      </c>
      <c r="D58" s="3">
        <v>2477.0340944889922</v>
      </c>
      <c r="E58" s="3">
        <v>11195.613823048339</v>
      </c>
      <c r="F58" s="3">
        <v>2521.9050995515581</v>
      </c>
      <c r="G58" s="3">
        <v>12776.001588078399</v>
      </c>
      <c r="H58" s="3">
        <v>1765.828691787593</v>
      </c>
      <c r="I58" s="3">
        <v>12393.39871806136</v>
      </c>
      <c r="J58" s="3">
        <v>2432.8379743999271</v>
      </c>
      <c r="K58" s="3">
        <v>20142.27289205297</v>
      </c>
      <c r="L58" s="3">
        <v>2805.090479356154</v>
      </c>
      <c r="M58" s="3">
        <v>21551.51291412245</v>
      </c>
      <c r="N58" s="3">
        <v>4361.0092813848032</v>
      </c>
      <c r="O58" s="3">
        <v>12569.39681818572</v>
      </c>
      <c r="P58" s="3">
        <v>2929.674762316989</v>
      </c>
      <c r="Q58" s="3">
        <v>34433.146915544014</v>
      </c>
      <c r="R58" s="3">
        <v>7027.5852025230424</v>
      </c>
      <c r="S58" s="3">
        <v>28163.782548413259</v>
      </c>
      <c r="T58" s="3">
        <v>5428.2933809509614</v>
      </c>
      <c r="U58" s="3">
        <v>32174.982356335579</v>
      </c>
      <c r="V58" s="3">
        <v>6562.7912557208201</v>
      </c>
      <c r="W58" s="3">
        <v>68224.903262643187</v>
      </c>
      <c r="X58" s="3">
        <v>18215.4736104064</v>
      </c>
      <c r="Y58" s="4">
        <v>8836.2478095983206</v>
      </c>
      <c r="Z58" s="4">
        <v>1294.687157781362</v>
      </c>
      <c r="AB58" s="3">
        <f t="shared" si="0"/>
        <v>8836.2478095983206</v>
      </c>
      <c r="AC58" s="3">
        <f t="shared" si="1"/>
        <v>1294.687157781362</v>
      </c>
    </row>
    <row r="59" spans="1:29" x14ac:dyDescent="0.3">
      <c r="A59" s="30"/>
      <c r="B59" s="2">
        <v>100</v>
      </c>
      <c r="C59" s="3">
        <v>37024.593827438897</v>
      </c>
      <c r="D59" s="3">
        <v>5528.4717942484012</v>
      </c>
      <c r="E59" s="3">
        <v>27103.447002667621</v>
      </c>
      <c r="F59" s="3">
        <v>4985.1816382755551</v>
      </c>
      <c r="G59" s="3">
        <v>34480.518179483217</v>
      </c>
      <c r="H59" s="3">
        <v>4453.3802257638199</v>
      </c>
      <c r="I59" s="3">
        <v>34104.861620786964</v>
      </c>
      <c r="J59" s="3">
        <v>5758.4518869493422</v>
      </c>
      <c r="K59" s="3">
        <v>38550.548206347179</v>
      </c>
      <c r="L59" s="3">
        <v>3071.3128028365682</v>
      </c>
      <c r="M59" s="3">
        <v>40997.221465222108</v>
      </c>
      <c r="N59" s="3">
        <v>6622.9958213853306</v>
      </c>
      <c r="O59" s="3">
        <v>31062.52003505145</v>
      </c>
      <c r="P59" s="3">
        <v>4509.7709637067583</v>
      </c>
      <c r="Q59" s="3">
        <v>76917.377255922824</v>
      </c>
      <c r="R59" s="3">
        <v>11361.14949272486</v>
      </c>
      <c r="S59" s="3">
        <v>66346.872098201013</v>
      </c>
      <c r="T59" s="3">
        <v>8781.280371746092</v>
      </c>
      <c r="U59" s="3">
        <v>73250.847286410542</v>
      </c>
      <c r="V59" s="3">
        <v>10792.203197147721</v>
      </c>
      <c r="W59" s="3">
        <v>122032.7531484736</v>
      </c>
      <c r="X59" s="3">
        <v>22667.710930177978</v>
      </c>
      <c r="Y59" s="4">
        <v>22880.473201362282</v>
      </c>
      <c r="Z59" s="3">
        <v>3794.5266947305281</v>
      </c>
      <c r="AB59" s="3">
        <f t="shared" si="0"/>
        <v>22880.473201362282</v>
      </c>
      <c r="AC59" s="3">
        <f t="shared" si="1"/>
        <v>3071.3128028365682</v>
      </c>
    </row>
    <row r="60" spans="1:29" x14ac:dyDescent="0.3">
      <c r="A60" s="30" t="s">
        <v>32</v>
      </c>
      <c r="B60" s="2">
        <v>30</v>
      </c>
      <c r="C60" s="3">
        <v>38851.953095482233</v>
      </c>
      <c r="D60" s="3">
        <v>11204.51367340955</v>
      </c>
      <c r="E60" s="3">
        <v>31019.310113018699</v>
      </c>
      <c r="F60" s="3">
        <v>14081.96048998466</v>
      </c>
      <c r="G60" s="3">
        <v>48603.908531726287</v>
      </c>
      <c r="H60" s="3">
        <v>10800.00840046126</v>
      </c>
      <c r="I60" s="3">
        <v>39345.788440079792</v>
      </c>
      <c r="J60" s="3">
        <v>18424.109915915411</v>
      </c>
      <c r="K60" s="3">
        <v>43682.502786299206</v>
      </c>
      <c r="L60" s="3">
        <v>2429.8010506451578</v>
      </c>
      <c r="M60" s="3">
        <v>62158.962182781797</v>
      </c>
      <c r="N60" s="3">
        <v>9729.3670334967355</v>
      </c>
      <c r="O60" s="3">
        <v>40173.345470571112</v>
      </c>
      <c r="P60" s="3">
        <v>10538.99585448041</v>
      </c>
      <c r="Q60" s="3">
        <v>113462.2903590849</v>
      </c>
      <c r="R60" s="3">
        <v>20820.99813754026</v>
      </c>
      <c r="S60" s="3">
        <v>101769.77703207851</v>
      </c>
      <c r="T60" s="3">
        <v>17984.306122636081</v>
      </c>
      <c r="U60" s="3">
        <v>99764.578712783798</v>
      </c>
      <c r="V60" s="3">
        <v>21616.717358861551</v>
      </c>
      <c r="W60" s="3">
        <v>196465.052643145</v>
      </c>
      <c r="X60" s="3">
        <v>43957.550676953702</v>
      </c>
      <c r="Y60" s="4">
        <v>16339.752930033979</v>
      </c>
      <c r="Z60" s="3">
        <v>6387.5144912084461</v>
      </c>
      <c r="AB60" s="3">
        <f t="shared" si="0"/>
        <v>16339.752930033979</v>
      </c>
      <c r="AC60" s="3">
        <f t="shared" si="1"/>
        <v>2429.8010506451578</v>
      </c>
    </row>
    <row r="61" spans="1:29" x14ac:dyDescent="0.3">
      <c r="A61" s="30"/>
      <c r="B61" s="2">
        <v>50</v>
      </c>
      <c r="C61" s="3">
        <v>89517.428480302682</v>
      </c>
      <c r="D61" s="3">
        <v>11473.56961392236</v>
      </c>
      <c r="E61" s="3">
        <v>89596.667217157214</v>
      </c>
      <c r="F61" s="3">
        <v>24912.023311917132</v>
      </c>
      <c r="G61" s="3">
        <v>97903.422523996254</v>
      </c>
      <c r="H61" s="3">
        <v>4028.2137548014648</v>
      </c>
      <c r="I61" s="3">
        <v>157562.47456715661</v>
      </c>
      <c r="J61" s="3">
        <v>59827.396444475417</v>
      </c>
      <c r="K61" s="3">
        <v>79850.593611265111</v>
      </c>
      <c r="L61" s="3">
        <v>4604.3694496631906</v>
      </c>
      <c r="M61" s="3">
        <v>111797.0602173472</v>
      </c>
      <c r="N61" s="3">
        <v>9728.9241419272239</v>
      </c>
      <c r="O61" s="3">
        <v>89419.612219590737</v>
      </c>
      <c r="P61" s="3">
        <v>9472.6572730417029</v>
      </c>
      <c r="Q61" s="3">
        <v>249448.81762878411</v>
      </c>
      <c r="R61" s="3">
        <v>30139.296059862911</v>
      </c>
      <c r="S61" s="3">
        <v>246085.2202849208</v>
      </c>
      <c r="T61" s="3">
        <v>23026.983578494059</v>
      </c>
      <c r="U61" s="3">
        <v>221209.58539389179</v>
      </c>
      <c r="V61" s="3">
        <v>26927.037397925302</v>
      </c>
      <c r="W61" s="3">
        <v>348153.86524126917</v>
      </c>
      <c r="X61" s="3">
        <v>57932.106647613509</v>
      </c>
      <c r="Y61" s="4">
        <v>64085.049546858128</v>
      </c>
      <c r="Z61" s="3">
        <v>13296.970911548749</v>
      </c>
      <c r="AB61" s="3">
        <f t="shared" si="0"/>
        <v>64085.049546858128</v>
      </c>
      <c r="AC61" s="3">
        <f t="shared" si="1"/>
        <v>4028.2137548014648</v>
      </c>
    </row>
    <row r="62" spans="1:29" x14ac:dyDescent="0.3">
      <c r="A62" s="30"/>
      <c r="B62" s="2">
        <v>100</v>
      </c>
      <c r="C62" s="3">
        <v>243218.82621193861</v>
      </c>
      <c r="D62" s="3">
        <v>12604.30142307576</v>
      </c>
      <c r="E62" s="3">
        <v>282794.75166384212</v>
      </c>
      <c r="F62" s="3">
        <v>67991.147344193843</v>
      </c>
      <c r="G62" s="3">
        <v>256809.80706727979</v>
      </c>
      <c r="H62" s="3">
        <v>10689.33344250554</v>
      </c>
      <c r="I62" s="3">
        <v>587481.79348185856</v>
      </c>
      <c r="J62" s="3">
        <v>49376.507566447697</v>
      </c>
      <c r="K62" s="3">
        <v>215074.45576486079</v>
      </c>
      <c r="L62" s="4">
        <v>4706.8328031075407</v>
      </c>
      <c r="M62" s="3">
        <v>293453.00943515578</v>
      </c>
      <c r="N62" s="3">
        <v>17494.37342081633</v>
      </c>
      <c r="O62" s="3">
        <v>250503.7082803066</v>
      </c>
      <c r="P62" s="3">
        <v>10313.670014758831</v>
      </c>
      <c r="Q62" s="3">
        <v>632239.23018258333</v>
      </c>
      <c r="R62" s="3">
        <v>43394.281073713071</v>
      </c>
      <c r="S62" s="3">
        <v>634873.78919427271</v>
      </c>
      <c r="T62" s="3">
        <v>41633.951967791138</v>
      </c>
      <c r="U62" s="3">
        <v>604840.97728276753</v>
      </c>
      <c r="V62" s="3">
        <v>42730.228379368797</v>
      </c>
      <c r="W62" s="3">
        <v>822673.36867745675</v>
      </c>
      <c r="X62" s="3">
        <v>88276.338566945313</v>
      </c>
      <c r="Y62" s="4">
        <v>188418.8471364596</v>
      </c>
      <c r="Z62" s="3">
        <v>15122.13311636596</v>
      </c>
      <c r="AB62" s="3">
        <f t="shared" si="0"/>
        <v>188418.8471364596</v>
      </c>
      <c r="AC62" s="3">
        <f t="shared" si="1"/>
        <v>4706.8328031075407</v>
      </c>
    </row>
    <row r="63" spans="1:29" x14ac:dyDescent="0.3">
      <c r="A63" s="30" t="s">
        <v>33</v>
      </c>
      <c r="B63" s="2">
        <v>30</v>
      </c>
      <c r="C63" s="3">
        <v>4471.4857434379701</v>
      </c>
      <c r="D63" s="3">
        <v>1029.2783036521</v>
      </c>
      <c r="E63" s="3">
        <v>3256.71693555411</v>
      </c>
      <c r="F63" s="3">
        <v>427.46617850277403</v>
      </c>
      <c r="G63" s="3">
        <v>4713.1115316882197</v>
      </c>
      <c r="H63" s="3">
        <v>1115.09271331885</v>
      </c>
      <c r="I63" s="4">
        <v>2726.4117819652702</v>
      </c>
      <c r="J63" s="4">
        <v>116.447821982592</v>
      </c>
      <c r="K63" s="3">
        <v>6477.3543022711401</v>
      </c>
      <c r="L63" s="3">
        <v>637.22134468587603</v>
      </c>
      <c r="M63" s="3">
        <v>7542.7431983616798</v>
      </c>
      <c r="N63" s="3">
        <v>1129.0100445866699</v>
      </c>
      <c r="O63" s="3">
        <v>4748.5108283141899</v>
      </c>
      <c r="P63" s="3">
        <v>972.47058653575198</v>
      </c>
      <c r="Q63" s="3">
        <v>8633.2454078678402</v>
      </c>
      <c r="R63" s="3">
        <v>1282.65952756465</v>
      </c>
      <c r="S63" s="3">
        <v>6876.8177296129297</v>
      </c>
      <c r="T63" s="3">
        <v>1235.7301107620001</v>
      </c>
      <c r="U63" s="3">
        <v>7830.6333315348302</v>
      </c>
      <c r="V63" s="3">
        <v>1455.8263813529099</v>
      </c>
      <c r="W63" s="3">
        <v>11519.567430231349</v>
      </c>
      <c r="X63" s="3">
        <v>1342.1232226135251</v>
      </c>
      <c r="Y63" s="3">
        <v>2876.1091956937898</v>
      </c>
      <c r="Z63" s="3">
        <v>411.594505169792</v>
      </c>
      <c r="AB63" s="3">
        <f t="shared" ref="AB63:AB89" si="2">MIN(C63,E63,G63,I63,K63,M63,O63,Q63,S63,U63,Y63,W63)</f>
        <v>2726.4117819652702</v>
      </c>
      <c r="AC63" s="3">
        <f t="shared" ref="AC63:AC89" si="3">MIN(D63,F63,H63,J63,L63,N63,P63,R63,T63,V63,Z63,X63)</f>
        <v>116.447821982592</v>
      </c>
    </row>
    <row r="64" spans="1:29" x14ac:dyDescent="0.3">
      <c r="A64" s="30"/>
      <c r="B64" s="2">
        <v>50</v>
      </c>
      <c r="C64" s="3">
        <v>12384.026107018701</v>
      </c>
      <c r="D64" s="3">
        <v>2602.49894142623</v>
      </c>
      <c r="E64" s="4">
        <v>6918.3538109937599</v>
      </c>
      <c r="F64" s="3">
        <v>1691.00074291942</v>
      </c>
      <c r="G64" s="3">
        <v>13722.9813101828</v>
      </c>
      <c r="H64" s="3">
        <v>2004.5691058049499</v>
      </c>
      <c r="I64" s="3">
        <v>7953.7363722905802</v>
      </c>
      <c r="J64" s="3">
        <v>5036.2787303477598</v>
      </c>
      <c r="K64" s="3">
        <v>12689.545764353799</v>
      </c>
      <c r="L64" s="3">
        <v>1394.08898157616</v>
      </c>
      <c r="M64" s="3">
        <v>15540.7405137882</v>
      </c>
      <c r="N64" s="3">
        <v>1824.56486139407</v>
      </c>
      <c r="O64" s="3">
        <v>11371.987717927201</v>
      </c>
      <c r="P64" s="3">
        <v>1967.72366415236</v>
      </c>
      <c r="Q64" s="3">
        <v>18165.679508506899</v>
      </c>
      <c r="R64" s="4">
        <v>1276.0011383553499</v>
      </c>
      <c r="S64" s="3">
        <v>16083.4800991333</v>
      </c>
      <c r="T64" s="3">
        <v>1276.08587309022</v>
      </c>
      <c r="U64" s="3">
        <v>16807.415222217001</v>
      </c>
      <c r="V64" s="3">
        <v>1278.8995514552</v>
      </c>
      <c r="W64" s="3">
        <v>19697.65257323991</v>
      </c>
      <c r="X64" s="3">
        <v>1515.751302772456</v>
      </c>
      <c r="Y64" s="3">
        <v>8424.9866698785809</v>
      </c>
      <c r="Z64" s="3">
        <v>2629.9152101186301</v>
      </c>
      <c r="AB64" s="3">
        <f t="shared" si="2"/>
        <v>6918.3538109937599</v>
      </c>
      <c r="AC64" s="3">
        <f t="shared" si="3"/>
        <v>1276.0011383553499</v>
      </c>
    </row>
    <row r="65" spans="1:29" x14ac:dyDescent="0.3">
      <c r="A65" s="30"/>
      <c r="B65" s="2">
        <v>100</v>
      </c>
      <c r="C65" s="3">
        <v>28965.859079936341</v>
      </c>
      <c r="D65" s="3">
        <v>2069.1323462685159</v>
      </c>
      <c r="E65" s="3">
        <v>21580.710346948988</v>
      </c>
      <c r="F65" s="3">
        <v>3805.523953803835</v>
      </c>
      <c r="G65" s="3">
        <v>28954.253104442021</v>
      </c>
      <c r="H65" s="3">
        <v>2246.3329715508612</v>
      </c>
      <c r="I65" s="3">
        <v>28081.227146493438</v>
      </c>
      <c r="J65" s="3">
        <v>9900.3813210782791</v>
      </c>
      <c r="K65" s="3">
        <v>25094.52144341341</v>
      </c>
      <c r="L65" s="3">
        <v>1960.776896589083</v>
      </c>
      <c r="M65" s="3">
        <v>31663.124155284819</v>
      </c>
      <c r="N65" s="3">
        <v>2097.8008157901681</v>
      </c>
      <c r="O65" s="3">
        <v>25737.850814201531</v>
      </c>
      <c r="P65" s="3">
        <v>1715.91510308958</v>
      </c>
      <c r="Q65" s="3">
        <v>37174.174495704247</v>
      </c>
      <c r="R65" s="3">
        <v>1369.1217211914261</v>
      </c>
      <c r="S65" s="3">
        <v>35431.406117349281</v>
      </c>
      <c r="T65" s="3">
        <v>1336.9758165620501</v>
      </c>
      <c r="U65" s="3">
        <v>35823.481826905612</v>
      </c>
      <c r="V65" s="3">
        <v>1117.5401031571209</v>
      </c>
      <c r="W65" s="3">
        <v>37581.521238670903</v>
      </c>
      <c r="X65" s="3">
        <v>1606.4616639238941</v>
      </c>
      <c r="Y65" s="3">
        <v>22492.139974701498</v>
      </c>
      <c r="Z65" s="3">
        <v>3343.9079803066588</v>
      </c>
      <c r="AB65" s="3">
        <f t="shared" si="2"/>
        <v>21580.710346948988</v>
      </c>
      <c r="AC65" s="3">
        <f t="shared" si="3"/>
        <v>1117.5401031571209</v>
      </c>
    </row>
    <row r="66" spans="1:29" x14ac:dyDescent="0.3">
      <c r="A66" s="30" t="s">
        <v>34</v>
      </c>
      <c r="B66" s="2">
        <v>30</v>
      </c>
      <c r="C66" s="3">
        <v>51061.42855122708</v>
      </c>
      <c r="D66" s="3">
        <v>11610.338490425191</v>
      </c>
      <c r="E66" s="3">
        <v>40683.015283880668</v>
      </c>
      <c r="F66" s="3">
        <v>10796.096489693209</v>
      </c>
      <c r="G66" s="3">
        <v>61517.217877884374</v>
      </c>
      <c r="H66" s="3">
        <v>8498.114298477054</v>
      </c>
      <c r="I66" s="4">
        <v>31467.74208924194</v>
      </c>
      <c r="J66" s="3">
        <v>6022.3545704844382</v>
      </c>
      <c r="K66" s="3">
        <v>54450.320020424369</v>
      </c>
      <c r="L66" s="4">
        <v>1327.618010234439</v>
      </c>
      <c r="M66" s="3">
        <v>72078.641044502685</v>
      </c>
      <c r="N66" s="3">
        <v>7101.9281276956881</v>
      </c>
      <c r="O66" s="3">
        <v>57170.641392336067</v>
      </c>
      <c r="P66" s="3">
        <v>7042.9782655915114</v>
      </c>
      <c r="Q66" s="3">
        <v>115086.8613946815</v>
      </c>
      <c r="R66" s="3">
        <v>19047.734764632209</v>
      </c>
      <c r="S66" s="3">
        <v>99401.463635884094</v>
      </c>
      <c r="T66" s="3">
        <v>19333.362314462422</v>
      </c>
      <c r="U66" s="3">
        <v>111151.31269023519</v>
      </c>
      <c r="V66" s="3">
        <v>13958.77806795496</v>
      </c>
      <c r="W66" s="3">
        <v>170597.3331274518</v>
      </c>
      <c r="X66" s="3">
        <v>45046.174109461717</v>
      </c>
      <c r="Y66" s="3">
        <v>32348.391002830202</v>
      </c>
      <c r="Z66" s="3">
        <v>8418.6455089590509</v>
      </c>
      <c r="AB66" s="3">
        <f t="shared" si="2"/>
        <v>31467.74208924194</v>
      </c>
      <c r="AC66" s="3">
        <f t="shared" si="3"/>
        <v>1327.618010234439</v>
      </c>
    </row>
    <row r="67" spans="1:29" x14ac:dyDescent="0.3">
      <c r="A67" s="30"/>
      <c r="B67" s="2">
        <v>50</v>
      </c>
      <c r="C67" s="3">
        <v>96623.671119481529</v>
      </c>
      <c r="D67" s="3">
        <v>6451.7365780691516</v>
      </c>
      <c r="E67" s="3">
        <v>101965.1462713959</v>
      </c>
      <c r="F67" s="3">
        <v>19862.362229273189</v>
      </c>
      <c r="G67" s="3">
        <v>101513.0678248521</v>
      </c>
      <c r="H67" s="3">
        <v>6513.3304800177984</v>
      </c>
      <c r="I67" s="3">
        <v>141352.38127137659</v>
      </c>
      <c r="J67" s="3">
        <v>44045.589330435978</v>
      </c>
      <c r="K67" s="3">
        <v>85972.899174252903</v>
      </c>
      <c r="L67" s="4">
        <v>1413.545773386144</v>
      </c>
      <c r="M67" s="3">
        <v>120222.38127062361</v>
      </c>
      <c r="N67" s="3">
        <v>9480.8256272591752</v>
      </c>
      <c r="O67" s="3">
        <v>99172.40367763993</v>
      </c>
      <c r="P67" s="3">
        <v>5780.1078848359239</v>
      </c>
      <c r="Q67" s="3">
        <v>230030.55305765069</v>
      </c>
      <c r="R67" s="3">
        <v>29999.472145300981</v>
      </c>
      <c r="S67" s="3">
        <v>224774.5123677357</v>
      </c>
      <c r="T67" s="3">
        <v>26424.827105672841</v>
      </c>
      <c r="U67" s="3">
        <v>218334.42285130109</v>
      </c>
      <c r="V67" s="3">
        <v>23958.550235737559</v>
      </c>
      <c r="W67" s="3">
        <v>342473.73322497483</v>
      </c>
      <c r="X67" s="3">
        <v>68190.601537527225</v>
      </c>
      <c r="Y67" s="4">
        <v>72853.877515984233</v>
      </c>
      <c r="Z67" s="3">
        <v>10080.66845417944</v>
      </c>
      <c r="AB67" s="3">
        <f t="shared" si="2"/>
        <v>72853.877515984233</v>
      </c>
      <c r="AC67" s="3">
        <f t="shared" si="3"/>
        <v>1413.545773386144</v>
      </c>
    </row>
    <row r="68" spans="1:29" x14ac:dyDescent="0.3">
      <c r="A68" s="30"/>
      <c r="B68" s="2">
        <v>100</v>
      </c>
      <c r="C68" s="3">
        <v>128028.5362770965</v>
      </c>
      <c r="D68" s="3">
        <v>1972.389008868985</v>
      </c>
      <c r="E68" s="3">
        <v>154530.71539206401</v>
      </c>
      <c r="F68" s="3">
        <v>24021.654436429781</v>
      </c>
      <c r="G68" s="3">
        <v>129655.8326684567</v>
      </c>
      <c r="H68" s="3">
        <v>2026.546636065859</v>
      </c>
      <c r="I68" s="3">
        <v>326064.45320442138</v>
      </c>
      <c r="J68" s="3">
        <v>29277.490448970559</v>
      </c>
      <c r="K68" s="3">
        <v>117245.782296855</v>
      </c>
      <c r="L68" s="3">
        <v>3875.3147649995799</v>
      </c>
      <c r="M68" s="3">
        <v>151465.1152560412</v>
      </c>
      <c r="N68" s="3">
        <v>9570.7682682471859</v>
      </c>
      <c r="O68" s="3">
        <v>126077.78522037961</v>
      </c>
      <c r="P68" s="3">
        <v>2267.0268540613288</v>
      </c>
      <c r="Q68" s="3">
        <v>341563.14855502942</v>
      </c>
      <c r="R68" s="3">
        <v>24614.03938096204</v>
      </c>
      <c r="S68" s="3">
        <v>341486.99503335112</v>
      </c>
      <c r="T68" s="3">
        <v>18102.754505043009</v>
      </c>
      <c r="U68" s="3">
        <v>323401.76812897623</v>
      </c>
      <c r="V68" s="3">
        <v>21856.89529396639</v>
      </c>
      <c r="W68" s="3">
        <v>414724.1676690912</v>
      </c>
      <c r="X68" s="3">
        <v>42345.933733023827</v>
      </c>
      <c r="Y68" s="4">
        <v>112694.458422525</v>
      </c>
      <c r="Z68" s="4">
        <v>1455.4825856559401</v>
      </c>
      <c r="AB68" s="3">
        <f t="shared" si="2"/>
        <v>112694.458422525</v>
      </c>
      <c r="AC68" s="3">
        <f t="shared" si="3"/>
        <v>1455.4825856559401</v>
      </c>
    </row>
    <row r="69" spans="1:29" x14ac:dyDescent="0.3">
      <c r="A69" s="30" t="s">
        <v>35</v>
      </c>
      <c r="B69" s="2">
        <v>30</v>
      </c>
      <c r="C69" s="3">
        <v>31005.612488058799</v>
      </c>
      <c r="D69" s="3">
        <v>4010.6849134581698</v>
      </c>
      <c r="E69" s="3">
        <v>26258.414285388699</v>
      </c>
      <c r="F69" s="3">
        <v>6377.1445751931597</v>
      </c>
      <c r="G69" s="3">
        <v>33407.694077142303</v>
      </c>
      <c r="H69" s="3">
        <v>2616.0035704531301</v>
      </c>
      <c r="I69" s="4">
        <v>19310.5150323331</v>
      </c>
      <c r="J69" s="3">
        <v>8951.9467724196893</v>
      </c>
      <c r="K69" s="3">
        <v>28344.171994106</v>
      </c>
      <c r="L69" s="3">
        <v>2733.1086237395698</v>
      </c>
      <c r="M69" s="3">
        <v>38777.372615488399</v>
      </c>
      <c r="N69" s="3">
        <v>3033.8161331752199</v>
      </c>
      <c r="O69" s="3">
        <v>31463.681408380598</v>
      </c>
      <c r="P69" s="3">
        <v>2326.2640073565399</v>
      </c>
      <c r="Q69" s="3">
        <v>74466.223105953206</v>
      </c>
      <c r="R69" s="3">
        <v>10726.5196310225</v>
      </c>
      <c r="S69" s="3">
        <v>62829.636670334003</v>
      </c>
      <c r="T69" s="3">
        <v>11197.164689825</v>
      </c>
      <c r="U69" s="3">
        <v>64805.727415016801</v>
      </c>
      <c r="V69" s="3">
        <v>11840.7059509916</v>
      </c>
      <c r="W69" s="3">
        <v>104499.7296235081</v>
      </c>
      <c r="X69" s="3">
        <v>15908.06646553232</v>
      </c>
      <c r="Y69" s="4">
        <v>18663.261331936999</v>
      </c>
      <c r="Z69" s="4">
        <v>2733.1086237395698</v>
      </c>
      <c r="AB69" s="3">
        <f t="shared" si="2"/>
        <v>18663.261331936999</v>
      </c>
      <c r="AC69" s="3">
        <f t="shared" si="3"/>
        <v>2326.2640073565399</v>
      </c>
    </row>
    <row r="70" spans="1:29" x14ac:dyDescent="0.3">
      <c r="A70" s="30"/>
      <c r="B70" s="2">
        <v>50</v>
      </c>
      <c r="C70" s="3">
        <v>65466.867748024801</v>
      </c>
      <c r="D70" s="3">
        <v>3884.0595580917102</v>
      </c>
      <c r="E70" s="3">
        <v>66983.115303649902</v>
      </c>
      <c r="F70" s="3">
        <v>12532.0384001533</v>
      </c>
      <c r="G70" s="3">
        <v>65466.631958210499</v>
      </c>
      <c r="H70" s="3">
        <v>2822.5894918547301</v>
      </c>
      <c r="I70" s="3">
        <v>78558.655947117193</v>
      </c>
      <c r="J70" s="3">
        <v>35621.2017544142</v>
      </c>
      <c r="K70" s="3">
        <v>55321.468840259797</v>
      </c>
      <c r="L70" s="3">
        <v>3761.3946045069601</v>
      </c>
      <c r="M70" s="3">
        <v>74976.521129894594</v>
      </c>
      <c r="N70" s="3">
        <v>6336.3196537169997</v>
      </c>
      <c r="O70" s="3">
        <v>63808.982324818302</v>
      </c>
      <c r="P70" s="3">
        <v>3163.8241991198402</v>
      </c>
      <c r="Q70" s="3">
        <v>155337.43131727699</v>
      </c>
      <c r="R70" s="3">
        <v>18741.214838405798</v>
      </c>
      <c r="S70" s="3">
        <v>148353.44119993001</v>
      </c>
      <c r="T70" s="3">
        <v>16155.424379087801</v>
      </c>
      <c r="U70" s="3">
        <v>142452.36791694799</v>
      </c>
      <c r="V70" s="3">
        <v>16742.934210206298</v>
      </c>
      <c r="W70" s="3">
        <v>214806.76532909781</v>
      </c>
      <c r="X70" s="3">
        <v>33733.842127671189</v>
      </c>
      <c r="Y70" s="4">
        <v>50352.342724392503</v>
      </c>
      <c r="Z70" s="4">
        <v>3761.3946045069601</v>
      </c>
      <c r="AB70" s="3">
        <f t="shared" si="2"/>
        <v>50352.342724392503</v>
      </c>
      <c r="AC70" s="3">
        <f t="shared" si="3"/>
        <v>2822.5894918547301</v>
      </c>
    </row>
    <row r="71" spans="1:29" x14ac:dyDescent="0.3">
      <c r="A71" s="30"/>
      <c r="B71" s="2">
        <v>100</v>
      </c>
      <c r="C71" s="3">
        <v>178266.40103419201</v>
      </c>
      <c r="D71" s="3">
        <v>6640.2407729378301</v>
      </c>
      <c r="E71" s="3">
        <v>210213.83424466199</v>
      </c>
      <c r="F71" s="3">
        <v>30916.4520633272</v>
      </c>
      <c r="G71" s="3">
        <v>184017.40437315599</v>
      </c>
      <c r="H71" s="4">
        <v>5194.5423424679602</v>
      </c>
      <c r="I71" s="3">
        <v>482781.41641276499</v>
      </c>
      <c r="J71" s="3">
        <v>52566.438881938302</v>
      </c>
      <c r="K71" s="3">
        <v>156223.35301147401</v>
      </c>
      <c r="L71" s="3">
        <v>6561.2904904269399</v>
      </c>
      <c r="M71" s="3">
        <v>216825.10224908899</v>
      </c>
      <c r="N71" s="3">
        <v>15425.6013684521</v>
      </c>
      <c r="O71" s="3">
        <v>179429.09802011299</v>
      </c>
      <c r="P71" s="3">
        <v>6032.5105206110902</v>
      </c>
      <c r="Q71" s="3">
        <v>506116.76816238899</v>
      </c>
      <c r="R71" s="3">
        <v>33296.3163189146</v>
      </c>
      <c r="S71" s="3">
        <v>498748.11477415799</v>
      </c>
      <c r="T71" s="3">
        <v>36095.458666983403</v>
      </c>
      <c r="U71" s="3">
        <v>480022.60849444102</v>
      </c>
      <c r="V71" s="3">
        <v>28842.388713329401</v>
      </c>
      <c r="W71" s="3">
        <v>643655.20175026671</v>
      </c>
      <c r="X71" s="3">
        <v>72952.109761025597</v>
      </c>
      <c r="Y71" s="4">
        <v>151851.10114721899</v>
      </c>
      <c r="Z71" s="3">
        <v>6380.6366343670898</v>
      </c>
      <c r="AB71" s="3">
        <f t="shared" si="2"/>
        <v>151851.10114721899</v>
      </c>
      <c r="AC71" s="3">
        <f t="shared" si="3"/>
        <v>5194.5423424679602</v>
      </c>
    </row>
    <row r="72" spans="1:29" x14ac:dyDescent="0.3">
      <c r="A72" s="30" t="s">
        <v>36</v>
      </c>
      <c r="B72" s="2">
        <v>30</v>
      </c>
      <c r="C72" s="3">
        <v>5410.4255648393573</v>
      </c>
      <c r="D72" s="3">
        <v>732.49701816797256</v>
      </c>
      <c r="E72" s="3">
        <v>5905.9401361568553</v>
      </c>
      <c r="F72" s="3">
        <v>1279.125000584741</v>
      </c>
      <c r="G72" s="3">
        <v>6857.2982780389948</v>
      </c>
      <c r="H72" s="3">
        <v>1269.2902719507081</v>
      </c>
      <c r="I72" s="3">
        <v>6830.5965869046822</v>
      </c>
      <c r="J72" s="3">
        <v>1735.2987435796661</v>
      </c>
      <c r="K72" s="3">
        <v>5103.3674953262134</v>
      </c>
      <c r="L72" s="3">
        <v>285.10687749971731</v>
      </c>
      <c r="M72" s="3">
        <v>9352.320925327369</v>
      </c>
      <c r="N72" s="3">
        <v>2108.6822070118892</v>
      </c>
      <c r="O72" s="3">
        <v>6238.8070798370454</v>
      </c>
      <c r="P72" s="3">
        <v>1201.158127107162</v>
      </c>
      <c r="Q72" s="3">
        <v>25375.49767604865</v>
      </c>
      <c r="R72" s="3">
        <v>7035.8376648576204</v>
      </c>
      <c r="S72" s="3">
        <v>20857.630944748351</v>
      </c>
      <c r="T72" s="3">
        <v>4444.7510480273277</v>
      </c>
      <c r="U72" s="3">
        <v>23095.212223048238</v>
      </c>
      <c r="V72" s="3">
        <v>5722.67981076055</v>
      </c>
      <c r="W72" s="3">
        <v>64899.716029277377</v>
      </c>
      <c r="X72" s="3">
        <v>32879.497641341251</v>
      </c>
      <c r="Y72" s="4">
        <v>3689.641105079053</v>
      </c>
      <c r="Z72" s="4">
        <v>232.91180742884549</v>
      </c>
      <c r="AB72" s="3">
        <f t="shared" si="2"/>
        <v>3689.641105079053</v>
      </c>
      <c r="AC72" s="3">
        <f t="shared" si="3"/>
        <v>232.91180742884549</v>
      </c>
    </row>
    <row r="73" spans="1:29" x14ac:dyDescent="0.3">
      <c r="A73" s="30"/>
      <c r="B73" s="2">
        <v>50</v>
      </c>
      <c r="C73" s="3">
        <v>20814.803755465029</v>
      </c>
      <c r="D73" s="3">
        <v>4507.7979505738758</v>
      </c>
      <c r="E73" s="3">
        <v>24748.356603653468</v>
      </c>
      <c r="F73" s="3">
        <v>8233.3972942049331</v>
      </c>
      <c r="G73" s="3">
        <v>27529.168540883809</v>
      </c>
      <c r="H73" s="3">
        <v>5270.4947398100257</v>
      </c>
      <c r="I73" s="3">
        <v>29599.366169821369</v>
      </c>
      <c r="J73" s="3">
        <v>9524.9408819759301</v>
      </c>
      <c r="K73" s="3">
        <v>19783.23721578914</v>
      </c>
      <c r="L73" s="3">
        <v>1808.884288033649</v>
      </c>
      <c r="M73" s="3">
        <v>39949.698884067599</v>
      </c>
      <c r="N73" s="3">
        <v>7369.1230503724046</v>
      </c>
      <c r="O73" s="3">
        <v>25744.882803061711</v>
      </c>
      <c r="P73" s="3">
        <v>3690.7769515069131</v>
      </c>
      <c r="Q73" s="3">
        <v>97736.782780696696</v>
      </c>
      <c r="R73" s="3">
        <v>23736.93425827469</v>
      </c>
      <c r="S73" s="3">
        <v>79133.789125069903</v>
      </c>
      <c r="T73" s="3">
        <v>15263.980431082489</v>
      </c>
      <c r="U73" s="3">
        <v>90807.112126252978</v>
      </c>
      <c r="V73" s="3">
        <v>22846.595829741698</v>
      </c>
      <c r="W73" s="3">
        <v>231972.92064220089</v>
      </c>
      <c r="X73" s="3">
        <v>107727.3349772441</v>
      </c>
      <c r="Y73" s="4">
        <v>10831.664455564331</v>
      </c>
      <c r="Z73" s="4">
        <v>954.42877658327041</v>
      </c>
      <c r="AB73" s="3">
        <f t="shared" si="2"/>
        <v>10831.664455564331</v>
      </c>
      <c r="AC73" s="3">
        <f t="shared" si="3"/>
        <v>954.42877658327041</v>
      </c>
    </row>
    <row r="74" spans="1:29" x14ac:dyDescent="0.3">
      <c r="A74" s="30"/>
      <c r="B74" s="2">
        <v>100</v>
      </c>
      <c r="C74" s="3">
        <v>33112.321924438998</v>
      </c>
      <c r="D74" s="3">
        <v>5326.1734235163403</v>
      </c>
      <c r="E74" s="3">
        <v>48979.827263125197</v>
      </c>
      <c r="F74" s="3">
        <v>14172.370979355699</v>
      </c>
      <c r="G74" s="3">
        <v>42996.711171991199</v>
      </c>
      <c r="H74" s="3">
        <v>5297.0840326360703</v>
      </c>
      <c r="I74" s="3">
        <v>119054.01797261099</v>
      </c>
      <c r="J74" s="3">
        <v>17001.112043748701</v>
      </c>
      <c r="K74" s="3">
        <v>31086.8192856776</v>
      </c>
      <c r="L74" s="3">
        <v>2162.08228687677</v>
      </c>
      <c r="M74" s="3">
        <v>56710.943800906898</v>
      </c>
      <c r="N74" s="3">
        <v>7435.1683561659802</v>
      </c>
      <c r="O74" s="3">
        <v>42916.866986429202</v>
      </c>
      <c r="P74" s="3">
        <v>5751.0951785868101</v>
      </c>
      <c r="Q74" s="3">
        <v>176290.00277486499</v>
      </c>
      <c r="R74" s="3">
        <v>24344.539361785999</v>
      </c>
      <c r="S74" s="3">
        <v>165016.37095211601</v>
      </c>
      <c r="T74" s="3">
        <v>17909.113107259898</v>
      </c>
      <c r="U74" s="3">
        <v>172937.70115321799</v>
      </c>
      <c r="V74" s="3">
        <v>28875.890799532299</v>
      </c>
      <c r="W74" s="3">
        <v>304124.00660249562</v>
      </c>
      <c r="X74" s="3">
        <v>99889.258536989233</v>
      </c>
      <c r="Y74" s="4">
        <v>19717.527985236102</v>
      </c>
      <c r="Z74" s="4">
        <v>1359.1653977594201</v>
      </c>
      <c r="AB74" s="3">
        <f t="shared" si="2"/>
        <v>19717.527985236102</v>
      </c>
      <c r="AC74" s="3">
        <f t="shared" si="3"/>
        <v>1359.1653977594201</v>
      </c>
    </row>
    <row r="75" spans="1:29" x14ac:dyDescent="0.3">
      <c r="A75" s="30" t="s">
        <v>37</v>
      </c>
      <c r="B75" s="2">
        <v>30</v>
      </c>
      <c r="C75" s="3">
        <v>5746.3480856481256</v>
      </c>
      <c r="D75" s="3">
        <v>1998.174889719583</v>
      </c>
      <c r="E75" s="3">
        <v>6682.3071126110717</v>
      </c>
      <c r="F75" s="3">
        <v>1313.3367944691061</v>
      </c>
      <c r="G75" s="3">
        <v>4152.5381550857646</v>
      </c>
      <c r="H75" s="3">
        <v>2158.2558462127431</v>
      </c>
      <c r="I75" s="3">
        <v>3524.074131891155</v>
      </c>
      <c r="J75" s="4">
        <v>77.410616663201779</v>
      </c>
      <c r="K75" s="3">
        <v>13418.09446724874</v>
      </c>
      <c r="L75" s="3">
        <v>986.48193354101386</v>
      </c>
      <c r="M75" s="3">
        <v>28905.563127133661</v>
      </c>
      <c r="N75" s="3">
        <v>9172.0221976284847</v>
      </c>
      <c r="O75" s="3">
        <v>3593.6045505366328</v>
      </c>
      <c r="P75" s="3">
        <v>103.79335971415109</v>
      </c>
      <c r="Q75" s="3">
        <v>5620.4533910555529</v>
      </c>
      <c r="R75" s="3">
        <v>787.64107069190322</v>
      </c>
      <c r="S75" s="3">
        <v>9866.165805264849</v>
      </c>
      <c r="T75" s="3">
        <v>2353.5214895732511</v>
      </c>
      <c r="U75" s="3">
        <v>37418.173832140659</v>
      </c>
      <c r="V75" s="3">
        <v>14709.67337744693</v>
      </c>
      <c r="W75" s="3">
        <v>171854.07707701391</v>
      </c>
      <c r="X75" s="3">
        <v>166989.93093849439</v>
      </c>
      <c r="Y75" s="4">
        <v>3082.8109049450059</v>
      </c>
      <c r="Z75" s="3">
        <v>158.6185547924072</v>
      </c>
      <c r="AB75" s="3">
        <f t="shared" si="2"/>
        <v>3082.8109049450059</v>
      </c>
      <c r="AC75" s="3">
        <f t="shared" si="3"/>
        <v>77.410616663201779</v>
      </c>
    </row>
    <row r="76" spans="1:29" x14ac:dyDescent="0.3">
      <c r="A76" s="30"/>
      <c r="B76" s="2">
        <v>50</v>
      </c>
      <c r="C76" s="3">
        <v>15965.17150726848</v>
      </c>
      <c r="D76" s="3">
        <v>6659.8114722719256</v>
      </c>
      <c r="E76" s="3">
        <v>29981.861848683591</v>
      </c>
      <c r="F76" s="3">
        <v>10619.22721172242</v>
      </c>
      <c r="G76" s="3">
        <v>4560.121402088379</v>
      </c>
      <c r="H76" s="3">
        <v>289.4625050980132</v>
      </c>
      <c r="I76" s="3">
        <v>6132.9592205372946</v>
      </c>
      <c r="J76" s="3">
        <v>663.5844710184075</v>
      </c>
      <c r="K76" s="3">
        <v>92805.818027029847</v>
      </c>
      <c r="L76" s="3">
        <v>16039.291011433619</v>
      </c>
      <c r="M76" s="3">
        <v>167240.2611855022</v>
      </c>
      <c r="N76" s="3">
        <v>41863.138349075642</v>
      </c>
      <c r="O76" s="3">
        <v>4276.7940249133881</v>
      </c>
      <c r="P76" s="4">
        <v>227.90552588288571</v>
      </c>
      <c r="Q76" s="3">
        <v>20506.055301748391</v>
      </c>
      <c r="R76" s="3">
        <v>4541.9564284728231</v>
      </c>
      <c r="S76" s="3">
        <v>45685.446216761047</v>
      </c>
      <c r="T76" s="3">
        <v>11757.362690707159</v>
      </c>
      <c r="U76" s="3">
        <v>179995.35769004139</v>
      </c>
      <c r="V76" s="3">
        <v>37621.052266344297</v>
      </c>
      <c r="W76" s="3">
        <v>588857.00904460391</v>
      </c>
      <c r="X76" s="3">
        <v>347360.38330929028</v>
      </c>
      <c r="Y76" s="4">
        <v>3339.5411091196479</v>
      </c>
      <c r="Z76" s="3">
        <v>275.03370444736771</v>
      </c>
      <c r="AB76" s="3">
        <f t="shared" si="2"/>
        <v>3339.5411091196479</v>
      </c>
      <c r="AC76" s="3">
        <f t="shared" si="3"/>
        <v>227.90552588288571</v>
      </c>
    </row>
    <row r="77" spans="1:29" x14ac:dyDescent="0.3">
      <c r="A77" s="30"/>
      <c r="B77" s="2">
        <v>100</v>
      </c>
      <c r="C77" s="3">
        <v>106048.6853004919</v>
      </c>
      <c r="D77" s="3">
        <v>48865.138215921477</v>
      </c>
      <c r="E77" s="3">
        <v>182655.82815926149</v>
      </c>
      <c r="F77" s="3">
        <v>43728.449547605407</v>
      </c>
      <c r="G77" s="3">
        <v>6577.6409861486918</v>
      </c>
      <c r="H77" s="3">
        <v>463.1500692988987</v>
      </c>
      <c r="I77" s="3">
        <v>27017.076118230339</v>
      </c>
      <c r="J77" s="3">
        <v>4624.0692811866693</v>
      </c>
      <c r="K77" s="3">
        <v>296173.05204170058</v>
      </c>
      <c r="L77" s="3">
        <v>18595.089450045209</v>
      </c>
      <c r="M77" s="3">
        <v>454984.93674654531</v>
      </c>
      <c r="N77" s="3">
        <v>74536.721313454633</v>
      </c>
      <c r="O77" s="3">
        <v>6431.9981062347888</v>
      </c>
      <c r="P77" s="3">
        <v>357.68626377994548</v>
      </c>
      <c r="Q77" s="3">
        <v>103157.81859291741</v>
      </c>
      <c r="R77" s="3">
        <v>19150.259155971249</v>
      </c>
      <c r="S77" s="3">
        <v>219332.9346931515</v>
      </c>
      <c r="T77" s="3">
        <v>37882.433050674423</v>
      </c>
      <c r="U77" s="3">
        <v>584397.07735351869</v>
      </c>
      <c r="V77" s="3">
        <v>141129.94815004669</v>
      </c>
      <c r="W77" s="3">
        <v>1421122.127444098</v>
      </c>
      <c r="X77" s="3">
        <v>602360.22743054503</v>
      </c>
      <c r="Y77" s="4">
        <v>5288.4368530903466</v>
      </c>
      <c r="Z77" s="4">
        <v>234.01521651749769</v>
      </c>
      <c r="AB77" s="3">
        <f t="shared" si="2"/>
        <v>5288.4368530903466</v>
      </c>
      <c r="AC77" s="3">
        <f t="shared" si="3"/>
        <v>234.01521651749769</v>
      </c>
    </row>
    <row r="78" spans="1:29" x14ac:dyDescent="0.3">
      <c r="A78" s="30" t="s">
        <v>38</v>
      </c>
      <c r="B78" s="2">
        <v>30</v>
      </c>
      <c r="C78" s="3">
        <v>3958.3649126622208</v>
      </c>
      <c r="D78" s="3">
        <v>389.19078860040361</v>
      </c>
      <c r="E78" s="3">
        <v>3859.9923485185509</v>
      </c>
      <c r="F78" s="3">
        <v>185.89045133346019</v>
      </c>
      <c r="G78" s="3">
        <v>3234.146223824408</v>
      </c>
      <c r="H78" s="3">
        <v>408.9269694989685</v>
      </c>
      <c r="I78" s="3">
        <v>3298.2508266698228</v>
      </c>
      <c r="J78" s="3">
        <v>102.82121753850591</v>
      </c>
      <c r="K78" s="3">
        <v>8428.6790065287169</v>
      </c>
      <c r="L78" s="3">
        <v>551.2693871711225</v>
      </c>
      <c r="M78" s="3">
        <v>6103.1734092494853</v>
      </c>
      <c r="N78" s="3">
        <v>779.21807463345738</v>
      </c>
      <c r="O78" s="3">
        <v>3273.7851700709721</v>
      </c>
      <c r="P78" s="3">
        <v>648.6540960781839</v>
      </c>
      <c r="Q78" s="3">
        <v>3857.5500383240219</v>
      </c>
      <c r="R78" s="3">
        <v>178.8619879912936</v>
      </c>
      <c r="S78" s="3">
        <v>4138.3193591790377</v>
      </c>
      <c r="T78" s="3">
        <v>251.95471621880591</v>
      </c>
      <c r="U78" s="3">
        <v>5765.8217500298797</v>
      </c>
      <c r="V78" s="3">
        <v>712.84010450503524</v>
      </c>
      <c r="W78" s="3">
        <v>11455.94458607693</v>
      </c>
      <c r="X78" s="3">
        <v>2813.8072470271759</v>
      </c>
      <c r="Y78" s="4">
        <v>3100.0072203617392</v>
      </c>
      <c r="Z78" s="4">
        <v>9.565469272820408E-5</v>
      </c>
      <c r="AB78" s="3">
        <f t="shared" si="2"/>
        <v>3100.0072203617392</v>
      </c>
      <c r="AC78" s="3">
        <f t="shared" si="3"/>
        <v>9.565469272820408E-5</v>
      </c>
    </row>
    <row r="79" spans="1:29" x14ac:dyDescent="0.3">
      <c r="A79" s="30"/>
      <c r="B79" s="2">
        <v>50</v>
      </c>
      <c r="C79" s="3">
        <v>6182.8235260537067</v>
      </c>
      <c r="D79" s="3">
        <v>1034.3846320079849</v>
      </c>
      <c r="E79" s="3">
        <v>5622.5165266547128</v>
      </c>
      <c r="F79" s="3">
        <v>492.63594344391862</v>
      </c>
      <c r="G79" s="3">
        <v>5454.6823801897408</v>
      </c>
      <c r="H79" s="3">
        <v>2209.277633481523</v>
      </c>
      <c r="I79" s="3">
        <v>3936.7230365225601</v>
      </c>
      <c r="J79" s="3">
        <v>187.15579728891441</v>
      </c>
      <c r="K79" s="3">
        <v>12107.926990898701</v>
      </c>
      <c r="L79" s="3">
        <v>567.29228116486729</v>
      </c>
      <c r="M79" s="3">
        <v>9366.3920788269006</v>
      </c>
      <c r="N79" s="3">
        <v>945.84357331030537</v>
      </c>
      <c r="O79" s="3">
        <v>3604.4372422244069</v>
      </c>
      <c r="P79" s="3">
        <v>1887.0507930703491</v>
      </c>
      <c r="Q79" s="3">
        <v>5272.524821814457</v>
      </c>
      <c r="R79" s="3">
        <v>348.02132138310458</v>
      </c>
      <c r="S79" s="3">
        <v>6128.4358488173057</v>
      </c>
      <c r="T79" s="3">
        <v>554.73209027216842</v>
      </c>
      <c r="U79" s="3">
        <v>9246.1822417009298</v>
      </c>
      <c r="V79" s="3">
        <v>862.08314608450996</v>
      </c>
      <c r="W79" s="3">
        <v>16996.483778683702</v>
      </c>
      <c r="X79" s="3">
        <v>5699.6635792612096</v>
      </c>
      <c r="Y79" s="4">
        <v>3100.0121295010331</v>
      </c>
      <c r="Z79" s="4">
        <v>1.0929012572628081E-4</v>
      </c>
      <c r="AB79" s="3">
        <f t="shared" si="2"/>
        <v>3100.0121295010331</v>
      </c>
      <c r="AC79" s="3">
        <f t="shared" si="3"/>
        <v>1.0929012572628081E-4</v>
      </c>
    </row>
    <row r="80" spans="1:29" x14ac:dyDescent="0.3">
      <c r="A80" s="30"/>
      <c r="B80" s="2">
        <v>100</v>
      </c>
      <c r="C80" s="3">
        <v>10335.810289931</v>
      </c>
      <c r="D80" s="3">
        <v>1510.76256037139</v>
      </c>
      <c r="E80" s="3">
        <v>9036.9968307626496</v>
      </c>
      <c r="F80" s="3">
        <v>721.14296121396399</v>
      </c>
      <c r="G80" s="3">
        <v>7250.0361969415799</v>
      </c>
      <c r="H80" s="3">
        <v>3757.9562391887098</v>
      </c>
      <c r="I80" s="3">
        <v>5985.7864293038501</v>
      </c>
      <c r="J80" s="3">
        <v>450.10178763811899</v>
      </c>
      <c r="K80" s="3">
        <v>16901.676960075001</v>
      </c>
      <c r="L80" s="3">
        <v>849.25880657922596</v>
      </c>
      <c r="M80" s="3">
        <v>14462.072940456101</v>
      </c>
      <c r="N80" s="3">
        <v>1225.4735503782999</v>
      </c>
      <c r="O80" s="3">
        <v>4141.1939464766001</v>
      </c>
      <c r="P80" s="3">
        <v>3774.88514832795</v>
      </c>
      <c r="Q80" s="3">
        <v>10820.6640426002</v>
      </c>
      <c r="R80" s="3">
        <v>892.01811085875102</v>
      </c>
      <c r="S80" s="3">
        <v>10144.722285571201</v>
      </c>
      <c r="T80" s="3">
        <v>956.392904231334</v>
      </c>
      <c r="U80" s="3">
        <v>13673.389308007199</v>
      </c>
      <c r="V80" s="3">
        <v>1370.48945318243</v>
      </c>
      <c r="W80" s="3">
        <v>22254.567833604739</v>
      </c>
      <c r="X80" s="3">
        <v>4237.7801386677475</v>
      </c>
      <c r="Y80" s="4">
        <v>3183.6065024017998</v>
      </c>
      <c r="Z80" s="4">
        <v>443.29718340464501</v>
      </c>
      <c r="AB80" s="3">
        <f t="shared" si="2"/>
        <v>3183.6065024017998</v>
      </c>
      <c r="AC80" s="3">
        <f t="shared" si="3"/>
        <v>443.29718340464501</v>
      </c>
    </row>
    <row r="81" spans="1:29" x14ac:dyDescent="0.3">
      <c r="A81" s="30" t="s">
        <v>39</v>
      </c>
      <c r="B81" s="2">
        <v>30</v>
      </c>
      <c r="C81" s="3">
        <v>4643.3583117861426</v>
      </c>
      <c r="D81" s="3">
        <v>567.34899199548261</v>
      </c>
      <c r="E81" s="3">
        <v>4840.6703823416137</v>
      </c>
      <c r="F81" s="3">
        <v>635.30839252485964</v>
      </c>
      <c r="G81" s="3">
        <v>4056.9487211276501</v>
      </c>
      <c r="H81" s="3">
        <v>1441.962304637105</v>
      </c>
      <c r="I81" s="3">
        <v>3904.6030902379298</v>
      </c>
      <c r="J81" s="3">
        <v>265.22377489883678</v>
      </c>
      <c r="K81" s="3">
        <v>10410.718135989589</v>
      </c>
      <c r="L81" s="3">
        <v>680.61080124700516</v>
      </c>
      <c r="M81" s="3">
        <v>13134.304205102069</v>
      </c>
      <c r="N81" s="3">
        <v>2877.116820617573</v>
      </c>
      <c r="O81" s="3">
        <v>3200.0074793076192</v>
      </c>
      <c r="P81" s="3">
        <v>4.6596009810595898E-5</v>
      </c>
      <c r="Q81" s="3">
        <v>7565.9311214860472</v>
      </c>
      <c r="R81" s="3">
        <v>835.58381716588701</v>
      </c>
      <c r="S81" s="3">
        <v>8675.4638526624294</v>
      </c>
      <c r="T81" s="3">
        <v>1440.5783092843069</v>
      </c>
      <c r="U81" s="3">
        <v>12513.40088613369</v>
      </c>
      <c r="V81" s="3">
        <v>2732.851438558725</v>
      </c>
      <c r="W81" s="3">
        <v>41546.874005651909</v>
      </c>
      <c r="X81" s="3">
        <v>21380.076047297629</v>
      </c>
      <c r="Y81" s="4">
        <v>3200.0072142794502</v>
      </c>
      <c r="Z81" s="3">
        <v>8.3970086306814598E-5</v>
      </c>
      <c r="AB81" s="3">
        <f t="shared" si="2"/>
        <v>3200.0072142794502</v>
      </c>
      <c r="AC81" s="3">
        <f t="shared" si="3"/>
        <v>4.6596009810595898E-5</v>
      </c>
    </row>
    <row r="82" spans="1:29" x14ac:dyDescent="0.3">
      <c r="A82" s="30"/>
      <c r="B82" s="2">
        <v>50</v>
      </c>
      <c r="C82" s="3">
        <v>6405.438992668267</v>
      </c>
      <c r="D82" s="3">
        <v>987.44299656263547</v>
      </c>
      <c r="E82" s="3">
        <v>6909.0375556621157</v>
      </c>
      <c r="F82" s="3">
        <v>1155.1115291175779</v>
      </c>
      <c r="G82" s="3">
        <v>5968.7991394388</v>
      </c>
      <c r="H82" s="3">
        <v>2343.809648650114</v>
      </c>
      <c r="I82" s="3">
        <v>5590.9810316482162</v>
      </c>
      <c r="J82" s="3">
        <v>516.4079562329083</v>
      </c>
      <c r="K82" s="3">
        <v>7174.9062770203218</v>
      </c>
      <c r="L82" s="3">
        <v>327.94755888194408</v>
      </c>
      <c r="M82" s="3">
        <v>11678.65164931153</v>
      </c>
      <c r="N82" s="3">
        <v>1371.4172202612219</v>
      </c>
      <c r="O82" s="3">
        <v>3200.012428909879</v>
      </c>
      <c r="P82" s="3">
        <v>8.6374301010323285E-5</v>
      </c>
      <c r="Q82" s="3">
        <v>12548.70311448712</v>
      </c>
      <c r="R82" s="3">
        <v>1455.902458917906</v>
      </c>
      <c r="S82" s="3">
        <v>12482.45290912712</v>
      </c>
      <c r="T82" s="3">
        <v>1870.389126318963</v>
      </c>
      <c r="U82" s="3">
        <v>17829.2548568528</v>
      </c>
      <c r="V82" s="3">
        <v>2955.1090331284881</v>
      </c>
      <c r="W82" s="3">
        <v>48499.041796746184</v>
      </c>
      <c r="X82" s="3">
        <v>23690.82760728327</v>
      </c>
      <c r="Y82" s="4">
        <v>3358.2436682194029</v>
      </c>
      <c r="Z82" s="3">
        <v>428.62007906310299</v>
      </c>
      <c r="AB82" s="3">
        <f t="shared" si="2"/>
        <v>3200.012428909879</v>
      </c>
      <c r="AC82" s="3">
        <f t="shared" si="3"/>
        <v>8.6374301010323285E-5</v>
      </c>
    </row>
    <row r="83" spans="1:29" x14ac:dyDescent="0.3">
      <c r="A83" s="30"/>
      <c r="B83" s="2">
        <v>100</v>
      </c>
      <c r="C83" s="3">
        <v>22127.37199401245</v>
      </c>
      <c r="D83" s="3">
        <v>3165.042156382493</v>
      </c>
      <c r="E83" s="3">
        <v>25771.917778785159</v>
      </c>
      <c r="F83" s="3">
        <v>5414.8503184375841</v>
      </c>
      <c r="G83" s="3">
        <v>11526.24887109888</v>
      </c>
      <c r="H83" s="3">
        <v>10696.86840454847</v>
      </c>
      <c r="I83" s="3">
        <v>22058.941179288158</v>
      </c>
      <c r="J83" s="3">
        <v>4246.9527433927278</v>
      </c>
      <c r="K83" s="3">
        <v>22981.794585834079</v>
      </c>
      <c r="L83" s="3">
        <v>3057.9406342491352</v>
      </c>
      <c r="M83" s="3">
        <v>37815.666954360568</v>
      </c>
      <c r="N83" s="3">
        <v>4396.6833694842599</v>
      </c>
      <c r="O83" s="3">
        <v>4235.8030525302547</v>
      </c>
      <c r="P83" s="3">
        <v>5577.819910527588</v>
      </c>
      <c r="Q83" s="3">
        <v>50014.460463902367</v>
      </c>
      <c r="R83" s="3">
        <v>5283.5787169675377</v>
      </c>
      <c r="S83" s="3">
        <v>52424.671908984572</v>
      </c>
      <c r="T83" s="3">
        <v>6232.215300744183</v>
      </c>
      <c r="U83" s="3">
        <v>59246.469446405943</v>
      </c>
      <c r="V83" s="3">
        <v>8530.3366356451734</v>
      </c>
      <c r="W83" s="3">
        <v>122010.93517575981</v>
      </c>
      <c r="X83" s="3">
        <v>34522.335419906551</v>
      </c>
      <c r="Y83" s="4">
        <v>4010.3230911884261</v>
      </c>
      <c r="Z83" s="4">
        <v>969.33426136450987</v>
      </c>
      <c r="AB83" s="3">
        <f t="shared" si="2"/>
        <v>4010.3230911884261</v>
      </c>
      <c r="AC83" s="3">
        <f t="shared" si="3"/>
        <v>969.33426136450987</v>
      </c>
    </row>
    <row r="84" spans="1:29" x14ac:dyDescent="0.3">
      <c r="A84" s="30" t="s">
        <v>40</v>
      </c>
      <c r="B84" s="2">
        <v>30</v>
      </c>
      <c r="C84" s="3">
        <v>8672274502.8782635</v>
      </c>
      <c r="D84" s="3">
        <v>8699229938.1635647</v>
      </c>
      <c r="E84" s="3">
        <v>238508903205.4111</v>
      </c>
      <c r="F84" s="3">
        <v>644636081131.84058</v>
      </c>
      <c r="G84" s="3">
        <v>10489834802537.08</v>
      </c>
      <c r="H84" s="3">
        <v>46454663349191.883</v>
      </c>
      <c r="I84" s="3">
        <v>6168001177.1085072</v>
      </c>
      <c r="J84" s="3">
        <v>5367831513.133934</v>
      </c>
      <c r="K84" s="3">
        <v>1002233116680.11</v>
      </c>
      <c r="L84" s="3">
        <v>1762986815397.4919</v>
      </c>
      <c r="M84" s="3">
        <v>263053941998883.31</v>
      </c>
      <c r="N84" s="3">
        <v>299380317806566.19</v>
      </c>
      <c r="O84" s="3">
        <v>799157811571.39795</v>
      </c>
      <c r="P84" s="3">
        <v>1839551714651.0811</v>
      </c>
      <c r="Q84" s="3">
        <v>270142705971481.41</v>
      </c>
      <c r="R84" s="3">
        <v>377806992161267.5</v>
      </c>
      <c r="S84" s="3">
        <v>37545411005082.227</v>
      </c>
      <c r="T84" s="3">
        <v>67716651972096.148</v>
      </c>
      <c r="U84" s="3">
        <v>1722321876177697</v>
      </c>
      <c r="V84" s="3">
        <v>2336432220201502</v>
      </c>
      <c r="W84" s="3">
        <v>2.8511479430851859E+17</v>
      </c>
      <c r="X84" s="3">
        <v>4.9985300544152448E+17</v>
      </c>
      <c r="Y84" s="4">
        <v>371585710.58917153</v>
      </c>
      <c r="Z84" s="4">
        <v>709172113.14361155</v>
      </c>
      <c r="AB84" s="3">
        <f t="shared" si="2"/>
        <v>371585710.58917153</v>
      </c>
      <c r="AC84" s="3">
        <f t="shared" si="3"/>
        <v>709172113.14361155</v>
      </c>
    </row>
    <row r="85" spans="1:29" x14ac:dyDescent="0.3">
      <c r="A85" s="30"/>
      <c r="B85" s="2">
        <v>50</v>
      </c>
      <c r="C85" s="3">
        <v>53338992817624.039</v>
      </c>
      <c r="D85" s="3">
        <v>86418036866886.984</v>
      </c>
      <c r="E85" s="3">
        <v>81550569625552.797</v>
      </c>
      <c r="F85" s="3">
        <v>248513764649571.5</v>
      </c>
      <c r="G85" s="3">
        <v>265659595573735.09</v>
      </c>
      <c r="H85" s="3">
        <v>348321210107155.81</v>
      </c>
      <c r="I85" s="3">
        <v>1699427754276.3479</v>
      </c>
      <c r="J85" s="3">
        <v>4391179766200.8809</v>
      </c>
      <c r="K85" s="3">
        <v>40952754600749.781</v>
      </c>
      <c r="L85" s="3">
        <v>105149976308216</v>
      </c>
      <c r="M85" s="3">
        <v>2414925274773338</v>
      </c>
      <c r="N85" s="3">
        <v>2785963345110736</v>
      </c>
      <c r="O85" s="3">
        <v>99024564769714.391</v>
      </c>
      <c r="P85" s="3">
        <v>149153895657702</v>
      </c>
      <c r="Q85" s="3">
        <v>2.1941714062752552E+16</v>
      </c>
      <c r="R85" s="3">
        <v>2.899221451738784E+16</v>
      </c>
      <c r="S85" s="3">
        <v>5251483175524372</v>
      </c>
      <c r="T85" s="3">
        <v>4679782746752998</v>
      </c>
      <c r="U85" s="3">
        <v>3.13101895374821E+16</v>
      </c>
      <c r="V85" s="3">
        <v>3.9572306515801616E+16</v>
      </c>
      <c r="W85" s="3">
        <v>4.8591412142587894E+18</v>
      </c>
      <c r="X85" s="3">
        <v>1.079947418565087E+19</v>
      </c>
      <c r="Y85" s="4">
        <v>1202295130624.1721</v>
      </c>
      <c r="Z85" s="3">
        <v>4545751708617.3828</v>
      </c>
      <c r="AB85" s="3">
        <f t="shared" si="2"/>
        <v>1202295130624.1721</v>
      </c>
      <c r="AC85" s="3">
        <f t="shared" si="3"/>
        <v>4391179766200.8809</v>
      </c>
    </row>
    <row r="86" spans="1:29" x14ac:dyDescent="0.3">
      <c r="A86" s="30"/>
      <c r="B86" s="2">
        <v>100</v>
      </c>
      <c r="C86" s="3">
        <v>2350649874273668</v>
      </c>
      <c r="D86" s="3">
        <v>2839129892556164</v>
      </c>
      <c r="E86" s="3">
        <v>5203625479156330</v>
      </c>
      <c r="F86" s="3">
        <v>7594267680110142</v>
      </c>
      <c r="G86" s="3">
        <v>1.572062181686655E+16</v>
      </c>
      <c r="H86" s="3">
        <v>1.945107778832962E+16</v>
      </c>
      <c r="I86" s="3">
        <v>3874371666081530</v>
      </c>
      <c r="J86" s="3">
        <v>3840503083172635</v>
      </c>
      <c r="K86" s="3">
        <v>2824974596706922</v>
      </c>
      <c r="L86" s="3">
        <v>999312076201575</v>
      </c>
      <c r="M86" s="3">
        <v>6.11177228736364E+16</v>
      </c>
      <c r="N86" s="3">
        <v>5.9840506781865208E+16</v>
      </c>
      <c r="O86" s="3">
        <v>9644522578105216</v>
      </c>
      <c r="P86" s="3">
        <v>1.238485637540978E+16</v>
      </c>
      <c r="Q86" s="3">
        <v>7.4969840570345075E+17</v>
      </c>
      <c r="R86" s="3">
        <v>4.4290624830258138E+17</v>
      </c>
      <c r="S86" s="3">
        <v>2.837496375045615E+17</v>
      </c>
      <c r="T86" s="3">
        <v>2.3397502743577789E+17</v>
      </c>
      <c r="U86" s="3">
        <v>6.1064763699993382E+17</v>
      </c>
      <c r="V86" s="3">
        <v>5.1793173291876538E+17</v>
      </c>
      <c r="W86" s="3">
        <v>1.6674483845187719E+19</v>
      </c>
      <c r="X86" s="3">
        <v>3.539909305091985E+19</v>
      </c>
      <c r="Y86" s="4">
        <v>115734564588604.41</v>
      </c>
      <c r="Z86" s="4">
        <v>128778478768086.91</v>
      </c>
      <c r="AB86" s="3">
        <f t="shared" si="2"/>
        <v>115734564588604.41</v>
      </c>
      <c r="AC86" s="3">
        <f t="shared" si="3"/>
        <v>128778478768086.91</v>
      </c>
    </row>
    <row r="87" spans="1:29" x14ac:dyDescent="0.3">
      <c r="A87" s="30" t="s">
        <v>41</v>
      </c>
      <c r="B87" s="2">
        <v>30</v>
      </c>
      <c r="C87" s="3">
        <v>23118524842.314701</v>
      </c>
      <c r="D87" s="3">
        <v>42349826385.803497</v>
      </c>
      <c r="E87" s="3">
        <v>38837156077.074303</v>
      </c>
      <c r="F87" s="3">
        <v>66345539413.8255</v>
      </c>
      <c r="G87" s="3">
        <v>1443048676413.1599</v>
      </c>
      <c r="H87" s="3">
        <v>2849098931546.8101</v>
      </c>
      <c r="I87" s="3">
        <v>14163518876.2896</v>
      </c>
      <c r="J87" s="3">
        <v>9480299914.2159309</v>
      </c>
      <c r="K87" s="3">
        <v>244472522455.91599</v>
      </c>
      <c r="L87" s="3">
        <v>456797145378.15002</v>
      </c>
      <c r="M87" s="3">
        <v>112126382286009</v>
      </c>
      <c r="N87" s="3">
        <v>188868049996624</v>
      </c>
      <c r="O87" s="3">
        <v>1031486869511.28</v>
      </c>
      <c r="P87" s="3">
        <v>5059659519751.4404</v>
      </c>
      <c r="Q87" s="3">
        <v>59120656530696.797</v>
      </c>
      <c r="R87" s="3">
        <v>21529205961146.199</v>
      </c>
      <c r="S87" s="3">
        <v>7526841363199.3799</v>
      </c>
      <c r="T87" s="3">
        <v>8553761146065.0703</v>
      </c>
      <c r="U87" s="3">
        <v>330274204601350</v>
      </c>
      <c r="V87" s="3">
        <v>319586035260397</v>
      </c>
      <c r="W87" s="3">
        <v>1.914255153792817E+17</v>
      </c>
      <c r="X87" s="3">
        <v>3.7122168742797293E+17</v>
      </c>
      <c r="Y87" s="4">
        <v>1183002189.87707</v>
      </c>
      <c r="Z87" s="4">
        <v>909867866.43343401</v>
      </c>
      <c r="AB87" s="3">
        <f t="shared" si="2"/>
        <v>1183002189.87707</v>
      </c>
      <c r="AC87" s="3">
        <f t="shared" si="3"/>
        <v>909867866.43343401</v>
      </c>
    </row>
    <row r="88" spans="1:29" x14ac:dyDescent="0.3">
      <c r="A88" s="30"/>
      <c r="B88" s="2">
        <v>50</v>
      </c>
      <c r="C88" s="3">
        <v>30206464406560.199</v>
      </c>
      <c r="D88" s="3">
        <v>102447962935281</v>
      </c>
      <c r="E88" s="3">
        <v>43657093392831.203</v>
      </c>
      <c r="F88" s="3">
        <v>83496785693835.797</v>
      </c>
      <c r="G88" s="3">
        <v>1086410631720810</v>
      </c>
      <c r="H88" s="3">
        <v>2150456968550240</v>
      </c>
      <c r="I88" s="3">
        <v>4412243764495.0195</v>
      </c>
      <c r="J88" s="3">
        <v>11597011316007.4</v>
      </c>
      <c r="K88" s="3">
        <v>756605304276104</v>
      </c>
      <c r="L88" s="3">
        <v>443788739325567</v>
      </c>
      <c r="M88" s="3">
        <v>2.09053201197247E+16</v>
      </c>
      <c r="N88" s="3">
        <v>2.63735723241161E+16</v>
      </c>
      <c r="O88" s="3">
        <v>787060977032925</v>
      </c>
      <c r="P88" s="3">
        <v>1678014561933300</v>
      </c>
      <c r="Q88" s="3">
        <v>6.81778291942136E+16</v>
      </c>
      <c r="R88" s="3">
        <v>7.0817040944241696E+16</v>
      </c>
      <c r="S88" s="3">
        <v>9352310094219240</v>
      </c>
      <c r="T88" s="3">
        <v>9119709229010680</v>
      </c>
      <c r="U88" s="3">
        <v>9.7220881941396608E+16</v>
      </c>
      <c r="V88" s="3">
        <v>7.2154130230432608E+16</v>
      </c>
      <c r="W88" s="3">
        <v>1.345451761533176E+19</v>
      </c>
      <c r="X88" s="3">
        <v>3.2658189439557161E+19</v>
      </c>
      <c r="Y88" s="4">
        <v>204439603769.97699</v>
      </c>
      <c r="Z88" s="4">
        <v>605716836250.09705</v>
      </c>
      <c r="AB88" s="3">
        <f t="shared" si="2"/>
        <v>204439603769.97699</v>
      </c>
      <c r="AC88" s="3">
        <f t="shared" si="3"/>
        <v>605716836250.09705</v>
      </c>
    </row>
    <row r="89" spans="1:29" x14ac:dyDescent="0.3">
      <c r="A89" s="30"/>
      <c r="B89" s="2">
        <v>100</v>
      </c>
      <c r="C89" s="3">
        <v>1948013081370779</v>
      </c>
      <c r="D89" s="3">
        <v>3552336922351878</v>
      </c>
      <c r="E89" s="3">
        <v>2786903451596542</v>
      </c>
      <c r="F89" s="3">
        <v>3761109493243525</v>
      </c>
      <c r="G89" s="3">
        <v>6321426492588724</v>
      </c>
      <c r="H89" s="3">
        <v>7682487416671286</v>
      </c>
      <c r="I89" s="3">
        <v>3759813452771564</v>
      </c>
      <c r="J89" s="3">
        <v>4057703683056420</v>
      </c>
      <c r="K89" s="3">
        <v>497491158536179.13</v>
      </c>
      <c r="L89" s="3">
        <v>286343778409945.38</v>
      </c>
      <c r="M89" s="3">
        <v>1.9693991305967712E+16</v>
      </c>
      <c r="N89" s="3">
        <v>1.482152058957587E+16</v>
      </c>
      <c r="O89" s="3">
        <v>2373760351630279</v>
      </c>
      <c r="P89" s="3">
        <v>2341834428208392</v>
      </c>
      <c r="Q89" s="3">
        <v>2.5668527053317562E+17</v>
      </c>
      <c r="R89" s="3">
        <v>1.9035302247389242E+17</v>
      </c>
      <c r="S89" s="3">
        <v>1.317845580703565E+17</v>
      </c>
      <c r="T89" s="3">
        <v>8.208692846891368E+16</v>
      </c>
      <c r="U89" s="3">
        <v>3.3441086506236083E+17</v>
      </c>
      <c r="V89" s="3">
        <v>2.558128489705792E+17</v>
      </c>
      <c r="W89" s="3">
        <v>1.0629781039089091E+19</v>
      </c>
      <c r="X89" s="3">
        <v>3.7894628225306223E+19</v>
      </c>
      <c r="Y89" s="4">
        <v>44516483191054.039</v>
      </c>
      <c r="Z89" s="4">
        <v>54640750039722.883</v>
      </c>
      <c r="AB89" s="3">
        <f t="shared" si="2"/>
        <v>44516483191054.039</v>
      </c>
      <c r="AC89" s="3">
        <f t="shared" si="3"/>
        <v>54640750039722.883</v>
      </c>
    </row>
    <row r="90" spans="1:29" x14ac:dyDescent="0.3">
      <c r="A90" s="30"/>
    </row>
    <row r="91" spans="1:29" x14ac:dyDescent="0.3">
      <c r="A91" s="30"/>
    </row>
    <row r="92" spans="1:29" x14ac:dyDescent="0.3">
      <c r="A92" s="30"/>
    </row>
  </sheetData>
  <mergeCells count="44">
    <mergeCell ref="A78:A80"/>
    <mergeCell ref="A81:A83"/>
    <mergeCell ref="A84:A86"/>
    <mergeCell ref="A87:A89"/>
    <mergeCell ref="A90:A92"/>
    <mergeCell ref="A75:A77"/>
    <mergeCell ref="A42:A44"/>
    <mergeCell ref="A45:A47"/>
    <mergeCell ref="A48:A50"/>
    <mergeCell ref="A51:A53"/>
    <mergeCell ref="A54:A56"/>
    <mergeCell ref="A57:A59"/>
    <mergeCell ref="A60:A62"/>
    <mergeCell ref="A63:A65"/>
    <mergeCell ref="A66:A68"/>
    <mergeCell ref="A69:A71"/>
    <mergeCell ref="A72:A74"/>
    <mergeCell ref="A39:A41"/>
    <mergeCell ref="A6:A8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A36:A38"/>
    <mergeCell ref="O1:P1"/>
    <mergeCell ref="Q1:R1"/>
    <mergeCell ref="S1:T1"/>
    <mergeCell ref="U1:V1"/>
    <mergeCell ref="Y1:Z1"/>
    <mergeCell ref="W1:X1"/>
    <mergeCell ref="K1:L1"/>
    <mergeCell ref="M1:N1"/>
    <mergeCell ref="A3:A5"/>
    <mergeCell ref="C1:D1"/>
    <mergeCell ref="E1:F1"/>
    <mergeCell ref="G1:H1"/>
    <mergeCell ref="I1:J1"/>
    <mergeCell ref="B1:B2"/>
    <mergeCell ref="A1:A2"/>
  </mergeCells>
  <phoneticPr fontId="1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E75AF-97CD-40B1-9FA4-56734B6D8308}">
  <dimension ref="A2:H12"/>
  <sheetViews>
    <sheetView workbookViewId="0">
      <selection activeCell="C17" sqref="C17"/>
    </sheetView>
  </sheetViews>
  <sheetFormatPr defaultRowHeight="14" x14ac:dyDescent="0.3"/>
  <cols>
    <col min="1" max="1" width="6.81640625" style="2" bestFit="1" customWidth="1"/>
    <col min="2" max="2" width="9.08984375" style="2" bestFit="1" customWidth="1"/>
    <col min="3" max="3" width="30.26953125" style="2" bestFit="1" customWidth="1"/>
    <col min="4" max="4" width="65.453125" style="2" bestFit="1" customWidth="1"/>
    <col min="5" max="5" width="9.08984375" style="2" bestFit="1" customWidth="1"/>
    <col min="6" max="6" width="12.453125" style="2" bestFit="1" customWidth="1"/>
    <col min="7" max="7" width="28.08984375" style="2" bestFit="1" customWidth="1"/>
    <col min="8" max="8" width="80" style="2" bestFit="1" customWidth="1"/>
    <col min="9" max="16384" width="8.7265625" style="2"/>
  </cols>
  <sheetData>
    <row r="2" spans="1:8" x14ac:dyDescent="0.3">
      <c r="B2" s="6" t="s">
        <v>42</v>
      </c>
      <c r="C2" s="7" t="s">
        <v>44</v>
      </c>
      <c r="D2" s="7" t="s">
        <v>45</v>
      </c>
      <c r="E2" s="7" t="s">
        <v>51</v>
      </c>
    </row>
    <row r="3" spans="1:8" x14ac:dyDescent="0.3">
      <c r="A3" s="2" t="s">
        <v>46</v>
      </c>
      <c r="B3" s="7">
        <v>1093.8232350272201</v>
      </c>
      <c r="C3" s="7" t="s">
        <v>58</v>
      </c>
      <c r="D3" s="7" t="s">
        <v>59</v>
      </c>
      <c r="E3" s="7">
        <v>986.92031192779496</v>
      </c>
      <c r="F3" s="7"/>
      <c r="G3" s="7"/>
      <c r="H3" s="7"/>
    </row>
    <row r="4" spans="1:8" x14ac:dyDescent="0.3">
      <c r="A4" s="2" t="s">
        <v>47</v>
      </c>
      <c r="B4" s="7">
        <v>481.23585702129702</v>
      </c>
      <c r="C4" s="6" t="s">
        <v>61</v>
      </c>
      <c r="D4" s="7" t="s">
        <v>60</v>
      </c>
      <c r="E4" s="7">
        <v>306.29003858566199</v>
      </c>
    </row>
    <row r="5" spans="1:8" x14ac:dyDescent="0.3">
      <c r="A5" s="2" t="s">
        <v>48</v>
      </c>
      <c r="B5" s="7">
        <v>950.97068266119504</v>
      </c>
      <c r="C5" s="6" t="s">
        <v>62</v>
      </c>
      <c r="D5" s="7" t="s">
        <v>63</v>
      </c>
      <c r="E5" s="7">
        <v>851.42813205718903</v>
      </c>
    </row>
    <row r="6" spans="1:8" x14ac:dyDescent="0.3">
      <c r="A6" s="2" t="s">
        <v>49</v>
      </c>
      <c r="B6" s="7">
        <v>594.43735413118202</v>
      </c>
      <c r="C6" s="6" t="s">
        <v>65</v>
      </c>
      <c r="D6" s="7" t="s">
        <v>64</v>
      </c>
      <c r="E6" s="7">
        <v>597.30482268333401</v>
      </c>
    </row>
    <row r="9" spans="1:8" x14ac:dyDescent="0.3">
      <c r="B9" s="7"/>
    </row>
    <row r="10" spans="1:8" x14ac:dyDescent="0.3">
      <c r="B10" s="7"/>
    </row>
    <row r="11" spans="1:8" x14ac:dyDescent="0.3">
      <c r="B11" s="7"/>
    </row>
    <row r="12" spans="1:8" x14ac:dyDescent="0.3">
      <c r="B12" s="7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44C0B-0053-418A-9CC6-B4C035D7F521}">
  <dimension ref="A1:W66"/>
  <sheetViews>
    <sheetView tabSelected="1" topLeftCell="A9" zoomScale="95" workbookViewId="0">
      <selection activeCell="I18" sqref="I18"/>
    </sheetView>
  </sheetViews>
  <sheetFormatPr defaultRowHeight="14" x14ac:dyDescent="0.25"/>
  <cols>
    <col min="1" max="1" width="8.7265625" style="7"/>
    <col min="2" max="2" width="9.453125" style="7" bestFit="1" customWidth="1"/>
    <col min="3" max="3" width="9.1796875" style="7" bestFit="1" customWidth="1"/>
    <col min="4" max="4" width="8.90625" style="7" bestFit="1" customWidth="1"/>
    <col min="5" max="5" width="8.81640625" style="7" customWidth="1"/>
    <col min="6" max="6" width="9.08984375" style="7" customWidth="1"/>
    <col min="7" max="7" width="9.26953125" style="13" bestFit="1" customWidth="1"/>
    <col min="8" max="8" width="12.08984375" style="9" bestFit="1" customWidth="1"/>
    <col min="9" max="9" width="9.26953125" style="7" bestFit="1" customWidth="1"/>
    <col min="10" max="10" width="9" style="7" bestFit="1" customWidth="1"/>
    <col min="11" max="11" width="9.1796875" style="13" bestFit="1" customWidth="1"/>
    <col min="12" max="12" width="8.90625" style="13" bestFit="1" customWidth="1"/>
    <col min="13" max="13" width="8.90625" style="9" bestFit="1" customWidth="1"/>
    <col min="14" max="14" width="9.36328125" style="7" bestFit="1" customWidth="1"/>
    <col min="15" max="15" width="8.90625" style="7" bestFit="1" customWidth="1"/>
    <col min="16" max="16" width="8.81640625" style="13" bestFit="1" customWidth="1"/>
    <col min="17" max="17" width="9.36328125" style="13" bestFit="1" customWidth="1"/>
    <col min="18" max="18" width="9.54296875" style="8" bestFit="1" customWidth="1"/>
    <col min="19" max="20" width="8.81640625" style="7" bestFit="1" customWidth="1"/>
    <col min="21" max="21" width="8.81640625" style="13" bestFit="1" customWidth="1"/>
    <col min="22" max="16384" width="8.7265625" style="7"/>
  </cols>
  <sheetData>
    <row r="1" spans="1:21" x14ac:dyDescent="0.25">
      <c r="B1" s="31" t="s">
        <v>46</v>
      </c>
      <c r="C1" s="31"/>
      <c r="D1" s="31"/>
      <c r="E1" s="31" t="s">
        <v>47</v>
      </c>
      <c r="F1" s="31"/>
      <c r="G1" s="31"/>
      <c r="H1" s="31" t="s">
        <v>53</v>
      </c>
      <c r="I1" s="31"/>
      <c r="J1" s="31"/>
      <c r="K1" s="31" t="s">
        <v>49</v>
      </c>
      <c r="L1" s="31"/>
      <c r="M1" s="31"/>
      <c r="N1" s="31" t="s">
        <v>78</v>
      </c>
      <c r="O1" s="31"/>
      <c r="P1" s="31"/>
      <c r="Q1" s="31" t="s">
        <v>79</v>
      </c>
      <c r="R1" s="31"/>
      <c r="S1" s="31"/>
      <c r="U1" s="6"/>
    </row>
    <row r="2" spans="1:21" x14ac:dyDescent="0.25">
      <c r="B2" s="6" t="s">
        <v>42</v>
      </c>
      <c r="C2" s="9" t="s">
        <v>43</v>
      </c>
      <c r="D2" s="7" t="s">
        <v>85</v>
      </c>
      <c r="E2" s="13" t="s">
        <v>42</v>
      </c>
      <c r="F2" s="9" t="s">
        <v>43</v>
      </c>
      <c r="G2" s="7" t="s">
        <v>85</v>
      </c>
      <c r="H2" s="13" t="s">
        <v>42</v>
      </c>
      <c r="I2" s="9" t="s">
        <v>43</v>
      </c>
      <c r="J2" s="7" t="s">
        <v>85</v>
      </c>
      <c r="K2" s="13" t="s">
        <v>42</v>
      </c>
      <c r="L2" s="8" t="s">
        <v>43</v>
      </c>
      <c r="M2" s="7" t="s">
        <v>85</v>
      </c>
      <c r="N2" s="13" t="s">
        <v>42</v>
      </c>
      <c r="O2" s="8" t="s">
        <v>43</v>
      </c>
      <c r="P2" s="7" t="s">
        <v>85</v>
      </c>
      <c r="Q2" s="13" t="s">
        <v>42</v>
      </c>
      <c r="R2" s="8" t="s">
        <v>43</v>
      </c>
      <c r="S2" s="7" t="s">
        <v>85</v>
      </c>
      <c r="U2" s="7"/>
    </row>
    <row r="3" spans="1:21" x14ac:dyDescent="0.25">
      <c r="A3" s="7" t="s">
        <v>2</v>
      </c>
      <c r="B3" s="13">
        <v>1145.6237645900701</v>
      </c>
      <c r="C3" s="9">
        <f>(B3-B18)/B3</f>
        <v>4.521600473379267E-2</v>
      </c>
      <c r="D3" s="15">
        <v>0.108951380369955</v>
      </c>
      <c r="E3" s="13">
        <v>491.12523590550597</v>
      </c>
      <c r="F3" s="9">
        <f>(E3-E18)/E3</f>
        <v>2.0136165200258002E-2</v>
      </c>
      <c r="G3" s="15">
        <v>0.144067244325464</v>
      </c>
      <c r="H3" s="13">
        <v>953.185807559154</v>
      </c>
      <c r="I3" s="9">
        <f>(H3-H18)/H3</f>
        <v>2.3820966887135357E-2</v>
      </c>
      <c r="J3" s="15">
        <v>0.133443344191397</v>
      </c>
      <c r="K3" s="13">
        <v>628.33860773635399</v>
      </c>
      <c r="L3" s="8">
        <f>(K3-K18)/K3</f>
        <v>5.3953796866476611E-2</v>
      </c>
      <c r="M3" s="15">
        <v>0.13492347170632399</v>
      </c>
      <c r="N3" s="13">
        <v>2338.9499999999998</v>
      </c>
      <c r="O3" s="8">
        <f>(N3-N18)/N3</f>
        <v>1.8589538040573769E-2</v>
      </c>
      <c r="P3" s="15">
        <v>6.8000000000000005E-2</v>
      </c>
      <c r="Q3" s="13">
        <v>3436.85</v>
      </c>
      <c r="R3" s="8">
        <f>(Q3-Q18)/Q3</f>
        <v>6.8638433449233135E-3</v>
      </c>
      <c r="S3" s="15">
        <v>7.5999999999999998E-2</v>
      </c>
      <c r="U3" s="7"/>
    </row>
    <row r="4" spans="1:21" x14ac:dyDescent="0.25">
      <c r="A4" s="7" t="s">
        <v>3</v>
      </c>
      <c r="B4" s="13">
        <v>1163.4093535894699</v>
      </c>
      <c r="C4" s="9">
        <f>(B4-B18)/B4</f>
        <v>5.9812239215333421E-2</v>
      </c>
      <c r="D4" s="15">
        <v>0.110642829632855</v>
      </c>
      <c r="E4" s="13">
        <v>481.23585702129702</v>
      </c>
      <c r="F4" s="9">
        <f>(E4-E18)/E4</f>
        <v>0</v>
      </c>
      <c r="G4" s="15">
        <v>0.14116628249377999</v>
      </c>
      <c r="H4" s="13">
        <v>952.22166715645994</v>
      </c>
      <c r="I4" s="9">
        <f>(H4-H18)/H4</f>
        <v>2.2832569249747543E-2</v>
      </c>
      <c r="J4" s="15">
        <v>0.13330836723455899</v>
      </c>
      <c r="K4" s="13">
        <v>649.22013567037004</v>
      </c>
      <c r="L4" s="8">
        <f>(K4-K18)/K4</f>
        <v>8.43824436877956E-2</v>
      </c>
      <c r="M4" s="15">
        <v>0.13940737291611899</v>
      </c>
      <c r="N4" s="13">
        <v>2298.16</v>
      </c>
      <c r="O4" s="8">
        <f>(N4-N18)/N4</f>
        <v>1.1705016186862771E-3</v>
      </c>
      <c r="P4" s="15">
        <v>6.6000000000000003E-2</v>
      </c>
      <c r="Q4" s="13">
        <v>3467.78</v>
      </c>
      <c r="R4" s="8">
        <f>(Q4-Q18)/Q4</f>
        <v>1.5721873936639572E-2</v>
      </c>
      <c r="S4" s="15">
        <v>7.5999999999999998E-2</v>
      </c>
      <c r="U4" s="7"/>
    </row>
    <row r="5" spans="1:21" x14ac:dyDescent="0.25">
      <c r="A5" s="7" t="s">
        <v>4</v>
      </c>
      <c r="B5" s="13">
        <v>1132.78388610046</v>
      </c>
      <c r="C5" s="9">
        <f>(B5-B18)/B5</f>
        <v>3.4393719359267702E-2</v>
      </c>
      <c r="D5" s="15">
        <v>0.10773027922971599</v>
      </c>
      <c r="E5" s="13">
        <v>481.23585702129702</v>
      </c>
      <c r="F5" s="9">
        <f>(E5-E18)/E5</f>
        <v>0</v>
      </c>
      <c r="G5" s="15">
        <v>0.14116628249377999</v>
      </c>
      <c r="H5" s="13">
        <v>953.185807559154</v>
      </c>
      <c r="I5" s="9">
        <f>(H5-H18)/H5</f>
        <v>2.3820966887135357E-2</v>
      </c>
      <c r="J5" s="15">
        <v>0.133443344191397</v>
      </c>
      <c r="K5" s="13">
        <v>630.55512564831304</v>
      </c>
      <c r="L5" s="8">
        <f>(K5-K18)/K5</f>
        <v>5.7279324277946492E-2</v>
      </c>
      <c r="M5" s="15">
        <v>0.13539942573508901</v>
      </c>
      <c r="N5" s="13">
        <v>2309.09</v>
      </c>
      <c r="O5" s="8">
        <f>(N5-N18)/N5</f>
        <v>5.8984275190661021E-3</v>
      </c>
      <c r="P5" s="15">
        <v>6.7000000000000004E-2</v>
      </c>
      <c r="Q5" s="13">
        <v>3741.52</v>
      </c>
      <c r="R5" s="8">
        <f>(Q5-Q18)/Q5</f>
        <v>8.7734396715773211E-2</v>
      </c>
      <c r="S5" s="15">
        <v>8.2000000000000003E-2</v>
      </c>
      <c r="U5" s="7"/>
    </row>
    <row r="6" spans="1:21" x14ac:dyDescent="0.25">
      <c r="A6" s="7" t="s">
        <v>5</v>
      </c>
      <c r="B6" s="13">
        <v>1120.95526967618</v>
      </c>
      <c r="C6" s="9">
        <f>(B6-B18)/B6</f>
        <v>2.4204386546840338E-2</v>
      </c>
      <c r="D6" s="15">
        <v>0.106605351371962</v>
      </c>
      <c r="E6" s="13">
        <v>491.12523590550597</v>
      </c>
      <c r="F6" s="9">
        <f>(E6-E18)/E6</f>
        <v>2.0136165200258002E-2</v>
      </c>
      <c r="G6" s="15">
        <v>0.144067244325464</v>
      </c>
      <c r="H6" s="13">
        <v>980.63552783368596</v>
      </c>
      <c r="I6" s="9">
        <f>(H6-H18)/H6</f>
        <v>5.1145942004043141E-2</v>
      </c>
      <c r="J6" s="15">
        <v>0.137286228172152</v>
      </c>
      <c r="K6" s="13">
        <v>605.68763809248196</v>
      </c>
      <c r="L6" s="8">
        <f>(K6-K18)/K6</f>
        <v>1.8574399168407901E-2</v>
      </c>
      <c r="M6" s="15">
        <v>0.13005961737008401</v>
      </c>
      <c r="N6" s="13">
        <v>2312.7199999999998</v>
      </c>
      <c r="O6" s="8">
        <f>(N6-N18)/N6</f>
        <v>7.4587498702826114E-3</v>
      </c>
      <c r="P6" s="15">
        <v>7.0999999999999994E-2</v>
      </c>
      <c r="Q6" s="13">
        <v>3525.46</v>
      </c>
      <c r="R6" s="8">
        <f>(Q6-Q18)/Q6</f>
        <v>3.1825634101649097E-2</v>
      </c>
      <c r="S6" s="15">
        <v>7.6999999999999999E-2</v>
      </c>
      <c r="U6" s="7"/>
    </row>
    <row r="7" spans="1:21" x14ac:dyDescent="0.25">
      <c r="A7" s="7" t="s">
        <v>6</v>
      </c>
      <c r="B7" s="13">
        <v>1233.2799468396699</v>
      </c>
      <c r="C7" s="9">
        <f>(B7-B18)/B7</f>
        <v>0.11307790430697696</v>
      </c>
      <c r="D7" s="15">
        <v>0.11728767920491399</v>
      </c>
      <c r="E7" s="13">
        <v>497.98312233013399</v>
      </c>
      <c r="F7" s="9">
        <f>(E7-E18)/E7</f>
        <v>3.3630186562295793E-2</v>
      </c>
      <c r="G7" s="15">
        <v>0.146078944655363</v>
      </c>
      <c r="H7" s="13">
        <v>964.80968081048195</v>
      </c>
      <c r="I7" s="9">
        <f>(H7-H18)/H7</f>
        <v>3.5581816282817057E-2</v>
      </c>
      <c r="J7" s="15">
        <v>0.135070653900389</v>
      </c>
      <c r="K7" s="13">
        <v>662.04321905614495</v>
      </c>
      <c r="L7" s="8">
        <f>(K7-K18)/K7</f>
        <v>0.10211699626097911</v>
      </c>
      <c r="M7" s="15">
        <v>0.14216088019242901</v>
      </c>
      <c r="N7" s="13">
        <v>2470.9499999999998</v>
      </c>
      <c r="O7" s="8">
        <f>(N7-N18)/N7</f>
        <v>7.1017220097533348E-2</v>
      </c>
      <c r="P7" s="15">
        <v>6.9000000000000006E-2</v>
      </c>
      <c r="Q7" s="13">
        <v>3665.72</v>
      </c>
      <c r="R7" s="8">
        <f>(Q7-Q18)/Q7</f>
        <v>6.8870508385801318E-2</v>
      </c>
      <c r="S7" s="15">
        <v>0.08</v>
      </c>
      <c r="U7" s="7"/>
    </row>
    <row r="8" spans="1:21" x14ac:dyDescent="0.25">
      <c r="A8" s="7" t="s">
        <v>7</v>
      </c>
      <c r="B8" s="13">
        <v>1183.6880526718201</v>
      </c>
      <c r="C8" s="9">
        <f>(B8-B18)/B8</f>
        <v>7.5919341621939265E-2</v>
      </c>
      <c r="D8" s="15">
        <v>0.112571379236502</v>
      </c>
      <c r="E8" s="13">
        <v>481.68023165137799</v>
      </c>
      <c r="F8" s="9">
        <f>(E8-E18)/E8</f>
        <v>9.2255110523737196E-4</v>
      </c>
      <c r="G8" s="15">
        <v>0.14129663586135999</v>
      </c>
      <c r="H8" s="13">
        <v>980.898662580257</v>
      </c>
      <c r="I8" s="9">
        <f>(H8-H18)/H8</f>
        <v>5.1400480501859927E-2</v>
      </c>
      <c r="J8" s="15">
        <v>0.13732306629990901</v>
      </c>
      <c r="K8" s="13">
        <v>650.08672711756196</v>
      </c>
      <c r="L8" s="8">
        <f>(K8-K18)/K8</f>
        <v>8.5602998284744686E-2</v>
      </c>
      <c r="M8" s="15">
        <v>0.139593456542315</v>
      </c>
      <c r="N8" s="13">
        <v>2418.94</v>
      </c>
      <c r="O8" s="8">
        <f>(N8-N18)/N8</f>
        <v>5.1043018842964374E-2</v>
      </c>
      <c r="P8" s="15">
        <v>7.3999999999999996E-2</v>
      </c>
      <c r="Q8" s="13">
        <v>3655.37</v>
      </c>
      <c r="R8" s="8">
        <f>(Q8-Q18)/Q8</f>
        <v>6.623406112103554E-2</v>
      </c>
      <c r="S8" s="15">
        <v>7.9000000000000001E-2</v>
      </c>
      <c r="U8" s="7"/>
    </row>
    <row r="9" spans="1:21" x14ac:dyDescent="0.25">
      <c r="A9" s="7" t="s">
        <v>8</v>
      </c>
      <c r="B9" s="13">
        <v>1276.4848346403501</v>
      </c>
      <c r="C9" s="9">
        <f>(B9-B18)/B9</f>
        <v>0.14309735192787851</v>
      </c>
      <c r="D9" s="15">
        <v>0.121396560593471</v>
      </c>
      <c r="E9" s="13">
        <v>527.93629018471597</v>
      </c>
      <c r="F9" s="9">
        <f>(E9-E18)/E9</f>
        <v>8.8458463704170168E-2</v>
      </c>
      <c r="G9" s="15">
        <v>0.15486544153262399</v>
      </c>
      <c r="H9" s="13">
        <v>1063.22672178315</v>
      </c>
      <c r="I9" s="9">
        <f>(H9-H18)/H9</f>
        <v>0.12485269516224994</v>
      </c>
      <c r="J9" s="15">
        <v>0.14884876407436001</v>
      </c>
      <c r="K9" s="13">
        <v>690.62648832423395</v>
      </c>
      <c r="L9" s="8">
        <f>(K9-K18)/K9</f>
        <v>0.13927808420214147</v>
      </c>
      <c r="M9" s="15">
        <v>0.148298580271469</v>
      </c>
      <c r="N9" s="13">
        <v>2570.3200000000002</v>
      </c>
      <c r="O9" s="8">
        <f>(N9-N18)/N9</f>
        <v>0.10693221077531216</v>
      </c>
      <c r="P9" s="15">
        <v>8.1000000000000003E-2</v>
      </c>
      <c r="Q9" s="13">
        <v>4022.85</v>
      </c>
      <c r="R9" s="8">
        <f>(Q9-Q18)/Q9</f>
        <v>0.15153187416881059</v>
      </c>
      <c r="S9" s="15">
        <v>8.8999999999999996E-2</v>
      </c>
      <c r="U9" s="7"/>
    </row>
    <row r="10" spans="1:21" x14ac:dyDescent="0.25">
      <c r="A10" s="7" t="s">
        <v>9</v>
      </c>
      <c r="B10" s="13">
        <v>1167.8471513979</v>
      </c>
      <c r="C10" s="9">
        <f>(B10-B18)/B10</f>
        <v>6.3384935504679787E-2</v>
      </c>
      <c r="D10" s="15">
        <v>0.13119759923146401</v>
      </c>
      <c r="E10" s="13">
        <v>524.873038606249</v>
      </c>
      <c r="F10" s="9">
        <f>(E10-E18)/E10</f>
        <v>8.3138546610864991E-2</v>
      </c>
      <c r="G10" s="15">
        <v>0.18402592086943201</v>
      </c>
      <c r="H10" s="13">
        <v>1011.49999212219</v>
      </c>
      <c r="I10" s="9">
        <f>(H10-H18)/H10</f>
        <v>8.0098855910225905E-2</v>
      </c>
      <c r="J10" s="15">
        <v>0.16482686048602299</v>
      </c>
      <c r="K10" s="13">
        <v>672.38093390964104</v>
      </c>
      <c r="L10" s="8">
        <f>(K10-K18)/K10</f>
        <v>0.11592175781256402</v>
      </c>
      <c r="M10" s="15">
        <v>0.16929209147938001</v>
      </c>
      <c r="N10" s="13">
        <v>2567.21</v>
      </c>
      <c r="O10" s="8">
        <f>(N10-N18)/N10</f>
        <v>0.10585031999719549</v>
      </c>
      <c r="P10" s="15">
        <v>6.9000000000000006E-2</v>
      </c>
      <c r="Q10" s="13">
        <v>3741.12</v>
      </c>
      <c r="R10" s="8">
        <f>(Q10-Q18)/Q10</f>
        <v>8.7636857411684116E-2</v>
      </c>
      <c r="S10" s="15">
        <v>9.9000000000000005E-2</v>
      </c>
      <c r="U10" s="7"/>
    </row>
    <row r="11" spans="1:21" x14ac:dyDescent="0.25">
      <c r="A11" s="7" t="s">
        <v>12</v>
      </c>
      <c r="B11" s="13">
        <v>1345.10473869265</v>
      </c>
      <c r="C11" s="9">
        <f>(B11-B18)/B11</f>
        <v>0.18681184924651917</v>
      </c>
      <c r="D11" s="15">
        <v>0.127922466827641</v>
      </c>
      <c r="E11" s="13">
        <v>527.79318093236395</v>
      </c>
      <c r="F11" s="9">
        <f>(E11-E18)/E11</f>
        <v>8.821130244392679E-2</v>
      </c>
      <c r="G11" s="15">
        <v>0.15482346169913799</v>
      </c>
      <c r="H11" s="13">
        <v>1044.30545088129</v>
      </c>
      <c r="I11" s="9">
        <f>(H11-H18)/H11</f>
        <v>0.10899631978865244</v>
      </c>
      <c r="J11" s="15">
        <v>0.14619983912659801</v>
      </c>
      <c r="K11" s="13">
        <v>666.77294774151596</v>
      </c>
      <c r="L11" s="8">
        <f>(K11-K18)/K11</f>
        <v>0.10848609538726497</v>
      </c>
      <c r="M11" s="15">
        <v>0.14317649726036399</v>
      </c>
      <c r="N11" s="13">
        <v>2395.2600000000002</v>
      </c>
      <c r="O11" s="8">
        <f>(N11-N18)/N11</f>
        <v>4.1661448026519214E-2</v>
      </c>
      <c r="P11" s="15">
        <v>7.2999999999999995E-2</v>
      </c>
      <c r="Q11" s="13">
        <v>3783.89</v>
      </c>
      <c r="R11" s="8">
        <f>(Q11-Q18)/Q11</f>
        <v>9.7949464704312136E-2</v>
      </c>
      <c r="S11" s="15">
        <v>8.3000000000000004E-2</v>
      </c>
      <c r="U11" s="7"/>
    </row>
    <row r="12" spans="1:21" x14ac:dyDescent="0.25">
      <c r="A12" s="7" t="s">
        <v>10</v>
      </c>
      <c r="B12" s="13">
        <v>1204.6236329825699</v>
      </c>
      <c r="C12" s="9">
        <f>(B12-B18)/B12</f>
        <v>9.1979266321560713E-2</v>
      </c>
      <c r="D12" s="15">
        <v>0.114562399713036</v>
      </c>
      <c r="E12" s="13">
        <v>519.92908772475505</v>
      </c>
      <c r="F12" s="9">
        <f>(E12-E18)/E12</f>
        <v>7.4420207710982719E-2</v>
      </c>
      <c r="G12" s="15">
        <v>0.15251659950858101</v>
      </c>
      <c r="H12" s="13">
        <v>1013.96316069741</v>
      </c>
      <c r="I12" s="9">
        <f>(H12-H18)/H12</f>
        <v>8.233352446452763E-2</v>
      </c>
      <c r="J12" s="15">
        <v>0.141952003457568</v>
      </c>
      <c r="K12" s="13">
        <v>676.22421717582495</v>
      </c>
      <c r="L12" s="8">
        <f>(K12-K18)/K12</f>
        <v>0.12094636803487553</v>
      </c>
      <c r="M12" s="15">
        <v>0.14520597319643999</v>
      </c>
      <c r="N12" s="13">
        <v>2508.25</v>
      </c>
      <c r="O12" s="8">
        <f>(N12-N18)/N12</f>
        <v>8.4832054221070541E-2</v>
      </c>
      <c r="P12" s="15">
        <v>6.9000000000000006E-2</v>
      </c>
      <c r="Q12" s="13">
        <v>3650.99</v>
      </c>
      <c r="R12" s="8">
        <f>(Q12-Q18)/Q12</f>
        <v>6.511384583359571E-2</v>
      </c>
      <c r="S12" s="15">
        <v>7.9000000000000001E-2</v>
      </c>
      <c r="U12" s="7"/>
    </row>
    <row r="13" spans="1:21" x14ac:dyDescent="0.25">
      <c r="A13" s="7" t="s">
        <v>68</v>
      </c>
      <c r="B13" s="13">
        <v>1311.5076150157799</v>
      </c>
      <c r="C13" s="9">
        <f>(B13-B18)/B13</f>
        <v>0.16598026385530418</v>
      </c>
      <c r="D13" s="15">
        <v>0.12472730527967475</v>
      </c>
      <c r="E13" s="13">
        <v>619.650595599707</v>
      </c>
      <c r="F13" s="9">
        <f>(E13-E18)/E13</f>
        <v>0.22337546281941381</v>
      </c>
      <c r="G13" s="15">
        <v>0.18176902188316399</v>
      </c>
      <c r="H13" s="13">
        <v>1022.3125027086299</v>
      </c>
      <c r="I13" s="9">
        <f>(H13-H18)/H13</f>
        <v>8.9828210518132709E-2</v>
      </c>
      <c r="J13" s="15">
        <v>0.14312088796144901</v>
      </c>
      <c r="K13" s="13">
        <v>687.88717087126895</v>
      </c>
      <c r="L13" s="8">
        <f>(K13-K18)/K13</f>
        <v>0.13585050092113887</v>
      </c>
      <c r="M13" s="15">
        <v>0.14771036522896</v>
      </c>
      <c r="N13" s="13">
        <v>2610.4899999999998</v>
      </c>
      <c r="O13" s="8">
        <f>(N13-N18)/N13</f>
        <v>0.12067466261123391</v>
      </c>
      <c r="P13" s="15">
        <v>7.2999999999999995E-2</v>
      </c>
      <c r="Q13" s="13">
        <v>4166.24</v>
      </c>
      <c r="R13" s="8">
        <f>(Q13-Q18)/Q13</f>
        <v>0.18073370713161019</v>
      </c>
      <c r="S13" s="15">
        <v>9.0999999999999998E-2</v>
      </c>
      <c r="U13" s="7"/>
    </row>
    <row r="14" spans="1:21" x14ac:dyDescent="0.25">
      <c r="A14" s="7" t="s">
        <v>80</v>
      </c>
      <c r="B14" s="13">
        <v>1188.8599999999999</v>
      </c>
      <c r="C14" s="9">
        <v>0.08</v>
      </c>
      <c r="D14" s="15">
        <v>0.113</v>
      </c>
      <c r="E14" s="13">
        <v>491.13</v>
      </c>
      <c r="F14" s="9">
        <v>0.02</v>
      </c>
      <c r="G14" s="15">
        <v>0.14399999999999999</v>
      </c>
      <c r="H14" s="13" t="s">
        <v>81</v>
      </c>
      <c r="I14" s="9">
        <v>0.02</v>
      </c>
      <c r="J14" s="15">
        <v>0.13300000000000001</v>
      </c>
      <c r="K14" s="13">
        <v>633.21</v>
      </c>
      <c r="L14" s="8">
        <v>6.0999999999999999E-2</v>
      </c>
      <c r="M14" s="15">
        <v>0.13600000000000001</v>
      </c>
      <c r="N14" s="13">
        <v>2476.08</v>
      </c>
      <c r="O14" s="8">
        <f>(N14-N18)/N14</f>
        <v>7.2941908177441811E-2</v>
      </c>
      <c r="P14" s="15">
        <v>7.1999999999999995E-2</v>
      </c>
      <c r="Q14" s="13">
        <v>3594.55</v>
      </c>
      <c r="R14" s="8">
        <f>(Q14-Q18)/Q14</f>
        <v>5.0434685843846923E-2</v>
      </c>
      <c r="S14" s="15">
        <v>7.9000000000000001E-2</v>
      </c>
      <c r="U14" s="7"/>
    </row>
    <row r="15" spans="1:21" x14ac:dyDescent="0.25">
      <c r="A15" s="7" t="s">
        <v>82</v>
      </c>
      <c r="B15" s="13">
        <v>1272.43</v>
      </c>
      <c r="C15" s="9">
        <v>0.14000000000000001</v>
      </c>
      <c r="D15" s="15">
        <v>0.121</v>
      </c>
      <c r="E15" s="13">
        <v>567.03</v>
      </c>
      <c r="F15" s="9">
        <v>0.151</v>
      </c>
      <c r="G15" s="15">
        <v>0.16600000000000001</v>
      </c>
      <c r="H15" s="13">
        <v>1026.28</v>
      </c>
      <c r="I15" s="9">
        <v>9.2999999999999999E-2</v>
      </c>
      <c r="J15" s="15">
        <v>0.14399999999999999</v>
      </c>
      <c r="K15" s="13">
        <v>609.36</v>
      </c>
      <c r="L15" s="8">
        <v>2.4E-2</v>
      </c>
      <c r="M15" s="15">
        <v>0.13100000000000001</v>
      </c>
      <c r="N15" s="13">
        <v>2827.5</v>
      </c>
      <c r="O15" s="8">
        <f>(N15-N18)/N15</f>
        <v>0.18816268788682589</v>
      </c>
      <c r="P15" s="15">
        <v>8.2000000000000003E-2</v>
      </c>
      <c r="Q15" s="13">
        <v>3880.11</v>
      </c>
      <c r="R15" s="8">
        <f>(Q15-Q18)/Q15</f>
        <v>0.12031875384976197</v>
      </c>
      <c r="S15" s="15">
        <v>8.5000000000000006E-2</v>
      </c>
      <c r="U15" s="7"/>
    </row>
    <row r="16" spans="1:21" x14ac:dyDescent="0.25">
      <c r="A16" s="7" t="s">
        <v>83</v>
      </c>
      <c r="B16" s="13">
        <v>1093.82</v>
      </c>
      <c r="C16" s="9">
        <v>0</v>
      </c>
      <c r="D16" s="15">
        <v>0.104</v>
      </c>
      <c r="E16" s="13">
        <v>481.24</v>
      </c>
      <c r="F16" s="9">
        <v>0</v>
      </c>
      <c r="G16" s="15">
        <v>0.14099999999999999</v>
      </c>
      <c r="H16" s="13">
        <v>941.89</v>
      </c>
      <c r="I16" s="9">
        <v>1.2200000000000001E-2</v>
      </c>
      <c r="J16" s="15">
        <v>0.13200000000000001</v>
      </c>
      <c r="K16" s="13">
        <v>594.44000000000005</v>
      </c>
      <c r="L16" s="8">
        <v>0</v>
      </c>
      <c r="M16" s="15">
        <v>0.128</v>
      </c>
      <c r="N16" s="13">
        <v>2356.65</v>
      </c>
      <c r="O16" s="8">
        <f>(N16-N18)/N16</f>
        <v>2.5960579636348329E-2</v>
      </c>
      <c r="P16" s="15">
        <v>6.8000000000000005E-2</v>
      </c>
      <c r="Q16" s="13">
        <v>3482.06</v>
      </c>
      <c r="R16" s="8">
        <f>(Q16-Q18)/Q16</f>
        <v>1.975841886699245E-2</v>
      </c>
      <c r="S16" s="15">
        <v>7.5999999999999998E-2</v>
      </c>
      <c r="U16" s="7"/>
    </row>
    <row r="17" spans="1:21" x14ac:dyDescent="0.25">
      <c r="A17" s="7" t="s">
        <v>86</v>
      </c>
      <c r="B17" s="13">
        <v>1093.82</v>
      </c>
      <c r="C17" s="9">
        <v>0</v>
      </c>
      <c r="D17" s="15">
        <v>0.104</v>
      </c>
      <c r="E17" s="13">
        <v>481.24</v>
      </c>
      <c r="F17" s="9">
        <v>0</v>
      </c>
      <c r="G17" s="15">
        <v>0.14099999999999999</v>
      </c>
      <c r="H17" s="13">
        <v>942.29</v>
      </c>
      <c r="I17" s="9">
        <f>(H17-H18)/H17</f>
        <v>1.2533296543526883E-2</v>
      </c>
      <c r="J17" s="15">
        <v>0.13200000000000001</v>
      </c>
      <c r="K17" s="13">
        <v>594.44000000000005</v>
      </c>
      <c r="L17" s="8">
        <v>0</v>
      </c>
      <c r="M17" s="15">
        <v>0.128</v>
      </c>
      <c r="N17" s="13">
        <v>2356.65</v>
      </c>
      <c r="O17" s="8">
        <f>(N17-N18)/N17</f>
        <v>2.5960579636348329E-2</v>
      </c>
      <c r="P17" s="15">
        <v>6.8000000000000005E-2</v>
      </c>
      <c r="Q17" s="13">
        <v>3482.06</v>
      </c>
      <c r="R17" s="8">
        <f>(Q17-Q18)/Q17</f>
        <v>1.975841886699245E-2</v>
      </c>
      <c r="S17" s="15">
        <v>7.5999999999999998E-2</v>
      </c>
      <c r="U17" s="7"/>
    </row>
    <row r="18" spans="1:21" x14ac:dyDescent="0.25">
      <c r="A18" s="7" t="s">
        <v>11</v>
      </c>
      <c r="B18" s="14">
        <v>1093.8232350272201</v>
      </c>
      <c r="C18" s="10">
        <v>0</v>
      </c>
      <c r="D18" s="16">
        <v>0.10402503423939299</v>
      </c>
      <c r="E18" s="14">
        <v>481.23585702129702</v>
      </c>
      <c r="F18" s="10">
        <v>0</v>
      </c>
      <c r="G18" s="16">
        <v>0.14116628249377999</v>
      </c>
      <c r="H18" s="14">
        <v>930.48</v>
      </c>
      <c r="I18" s="10">
        <v>0</v>
      </c>
      <c r="J18" s="16">
        <v>0.13</v>
      </c>
      <c r="K18" s="14">
        <v>594.43735413118202</v>
      </c>
      <c r="L18" s="11">
        <v>0</v>
      </c>
      <c r="M18" s="16">
        <v>0.12764383812136099</v>
      </c>
      <c r="N18" s="16">
        <v>2295.4699999999998</v>
      </c>
      <c r="O18" s="10">
        <v>0</v>
      </c>
      <c r="P18" s="16">
        <v>6.7000000000000004E-2</v>
      </c>
      <c r="Q18" s="14">
        <v>3413.26</v>
      </c>
      <c r="R18" s="10">
        <v>0</v>
      </c>
      <c r="S18" s="16">
        <v>7.4999999999999997E-2</v>
      </c>
      <c r="U18" s="7"/>
    </row>
    <row r="19" spans="1:21" x14ac:dyDescent="0.25">
      <c r="P19" s="16"/>
    </row>
    <row r="20" spans="1:21" x14ac:dyDescent="0.25">
      <c r="H20" s="13"/>
    </row>
    <row r="22" spans="1:21" x14ac:dyDescent="0.25">
      <c r="B22" s="31" t="s">
        <v>46</v>
      </c>
      <c r="C22" s="31"/>
      <c r="D22" s="31"/>
      <c r="E22" s="31"/>
      <c r="F22" s="30"/>
      <c r="G22" s="31" t="s">
        <v>47</v>
      </c>
      <c r="H22" s="31"/>
      <c r="I22" s="31"/>
      <c r="J22" s="31"/>
      <c r="K22" s="30"/>
      <c r="L22" s="31" t="s">
        <v>53</v>
      </c>
      <c r="M22" s="31"/>
      <c r="N22" s="31"/>
      <c r="O22" s="31"/>
      <c r="P22" s="30"/>
      <c r="Q22" s="31" t="s">
        <v>54</v>
      </c>
      <c r="R22" s="31"/>
      <c r="S22" s="31"/>
      <c r="T22" s="31"/>
      <c r="U22" s="30"/>
    </row>
    <row r="23" spans="1:21" x14ac:dyDescent="0.25">
      <c r="B23" s="6" t="s">
        <v>42</v>
      </c>
      <c r="C23" s="9" t="s">
        <v>43</v>
      </c>
      <c r="D23" s="7" t="s">
        <v>85</v>
      </c>
      <c r="E23" s="9" t="s">
        <v>57</v>
      </c>
      <c r="F23" s="7" t="s">
        <v>51</v>
      </c>
      <c r="G23" s="13" t="s">
        <v>42</v>
      </c>
      <c r="H23" s="9" t="s">
        <v>43</v>
      </c>
      <c r="I23" s="7" t="s">
        <v>85</v>
      </c>
      <c r="J23" s="9" t="s">
        <v>57</v>
      </c>
      <c r="K23" s="13" t="s">
        <v>51</v>
      </c>
      <c r="L23" s="13" t="s">
        <v>42</v>
      </c>
      <c r="M23" s="9" t="s">
        <v>43</v>
      </c>
      <c r="N23" s="7" t="s">
        <v>85</v>
      </c>
      <c r="O23" s="9" t="s">
        <v>57</v>
      </c>
      <c r="P23" s="13" t="s">
        <v>51</v>
      </c>
      <c r="Q23" s="13" t="s">
        <v>42</v>
      </c>
      <c r="R23" s="8" t="s">
        <v>43</v>
      </c>
      <c r="S23" s="7" t="s">
        <v>85</v>
      </c>
      <c r="T23" s="9" t="s">
        <v>57</v>
      </c>
      <c r="U23" s="13" t="s">
        <v>51</v>
      </c>
    </row>
    <row r="24" spans="1:21" x14ac:dyDescent="0.25">
      <c r="A24" s="7" t="s">
        <v>2</v>
      </c>
      <c r="B24" s="13">
        <v>1145.6237645900701</v>
      </c>
      <c r="C24" s="9">
        <f>(B24-B37)/B24</f>
        <v>4.521600473379267E-2</v>
      </c>
      <c r="D24" s="7">
        <v>0.108951380369955</v>
      </c>
      <c r="E24" s="7">
        <v>0.43801081931590502</v>
      </c>
      <c r="F24" s="7">
        <v>740.84960532188404</v>
      </c>
      <c r="G24" s="13">
        <v>491.12523590550597</v>
      </c>
      <c r="H24" s="9">
        <f>(G24-G37)/G24</f>
        <v>2.0136165200258002E-2</v>
      </c>
      <c r="I24" s="7">
        <v>0.144067244325464</v>
      </c>
      <c r="J24" s="7">
        <v>0.51554398511978505</v>
      </c>
      <c r="K24" s="13">
        <v>242.67951560020401</v>
      </c>
      <c r="L24" s="13">
        <v>953.185807559154</v>
      </c>
      <c r="M24" s="9">
        <f>(L24-L37)/L24</f>
        <v>2.3820966887135357E-2</v>
      </c>
      <c r="N24" s="7">
        <v>0.133443344191397</v>
      </c>
      <c r="O24" s="7">
        <v>0.45713767354738399</v>
      </c>
      <c r="P24" s="13">
        <v>627.38884544372502</v>
      </c>
      <c r="Q24" s="13">
        <v>628.33860773635399</v>
      </c>
      <c r="R24" s="8">
        <f>(Q24-Q37)/P24</f>
        <v>5.4035473935139987E-2</v>
      </c>
      <c r="S24" s="7">
        <v>0.13492347170632399</v>
      </c>
      <c r="T24" s="7">
        <v>0.36186855080129898</v>
      </c>
      <c r="U24" s="13">
        <v>418.70863246917702</v>
      </c>
    </row>
    <row r="25" spans="1:21" x14ac:dyDescent="0.25">
      <c r="A25" s="7" t="s">
        <v>3</v>
      </c>
      <c r="B25" s="13">
        <v>1163.4093535894699</v>
      </c>
      <c r="C25" s="9">
        <f>(B25-B37)/B25</f>
        <v>5.9812239215333421E-2</v>
      </c>
      <c r="D25" s="7">
        <v>0.110642829632855</v>
      </c>
      <c r="E25" s="7">
        <v>0.307910955150065</v>
      </c>
      <c r="F25" s="7">
        <v>226.44430518150301</v>
      </c>
      <c r="G25" s="13">
        <v>481.23585702129702</v>
      </c>
      <c r="H25" s="9">
        <f>(G25-G37)/G25</f>
        <v>0</v>
      </c>
      <c r="I25" s="7">
        <v>0.14116628249377999</v>
      </c>
      <c r="J25" s="7">
        <v>0.470628556210543</v>
      </c>
      <c r="K25" s="13">
        <v>75.156835079193101</v>
      </c>
      <c r="L25" s="13">
        <v>952.22166715645994</v>
      </c>
      <c r="M25" s="9">
        <f>(L25-L37)/L25</f>
        <v>2.2832569249747543E-2</v>
      </c>
      <c r="N25" s="7">
        <v>0.13330836723455899</v>
      </c>
      <c r="O25" s="7">
        <v>0.31189921790905201</v>
      </c>
      <c r="P25" s="13">
        <v>187.80955791473301</v>
      </c>
      <c r="Q25" s="13">
        <v>649.22013567037004</v>
      </c>
      <c r="R25" s="8">
        <f>(Q25-Q37)/P25</f>
        <v>0.29169325644257055</v>
      </c>
      <c r="S25" s="7">
        <v>0.13940737291611899</v>
      </c>
      <c r="T25" s="7">
        <v>0.34457998005325702</v>
      </c>
      <c r="U25" s="13">
        <v>125.55661535263</v>
      </c>
    </row>
    <row r="26" spans="1:21" x14ac:dyDescent="0.25">
      <c r="A26" s="7" t="s">
        <v>4</v>
      </c>
      <c r="B26" s="13">
        <v>1132.78388610046</v>
      </c>
      <c r="C26" s="9">
        <f>(B26-B37)/B26</f>
        <v>3.4393719359267702E-2</v>
      </c>
      <c r="D26" s="7">
        <v>0.10773027922971599</v>
      </c>
      <c r="E26" s="7">
        <v>0.43801081931590502</v>
      </c>
      <c r="F26" s="7">
        <v>436.64146471023503</v>
      </c>
      <c r="G26" s="13">
        <v>481.23585702129702</v>
      </c>
      <c r="H26" s="9">
        <f>(G26-G37)/G26</f>
        <v>0</v>
      </c>
      <c r="I26" s="7">
        <v>0.14116628249377999</v>
      </c>
      <c r="J26" s="7">
        <v>0.470628556210543</v>
      </c>
      <c r="K26" s="13">
        <v>144.77893662452601</v>
      </c>
      <c r="L26" s="13">
        <v>953.185807559154</v>
      </c>
      <c r="M26" s="9">
        <f>(L26-L37)/L26</f>
        <v>2.3820966887135357E-2</v>
      </c>
      <c r="N26" s="7">
        <v>0.133443344191397</v>
      </c>
      <c r="O26" s="7">
        <v>0.45713767354738399</v>
      </c>
      <c r="P26" s="13">
        <v>367.78828454017599</v>
      </c>
      <c r="Q26" s="13">
        <v>630.55512564831304</v>
      </c>
      <c r="R26" s="8">
        <f>(Q26-Q37)/P26</f>
        <v>9.8202615568048712E-2</v>
      </c>
      <c r="S26" s="7">
        <v>0.13539942573508901</v>
      </c>
      <c r="T26" s="7">
        <v>0.43339099650431201</v>
      </c>
      <c r="U26" s="13">
        <v>263.15713906288101</v>
      </c>
    </row>
    <row r="27" spans="1:21" x14ac:dyDescent="0.25">
      <c r="A27" s="7" t="s">
        <v>5</v>
      </c>
      <c r="B27" s="13">
        <v>1120.95526967618</v>
      </c>
      <c r="C27" s="9">
        <f>(B27-B37)/B27</f>
        <v>2.4204386546840338E-2</v>
      </c>
      <c r="D27" s="7">
        <v>0.106605351371962</v>
      </c>
      <c r="E27" s="7">
        <v>0.307910955150065</v>
      </c>
      <c r="F27" s="7">
        <v>232.57371044158899</v>
      </c>
      <c r="G27" s="13">
        <v>491.12523590550597</v>
      </c>
      <c r="H27" s="9">
        <f>(G27-G37)/G27</f>
        <v>2.0136165200258002E-2</v>
      </c>
      <c r="I27" s="7">
        <v>0.144067244325464</v>
      </c>
      <c r="J27" s="7">
        <v>0.51554398511978505</v>
      </c>
      <c r="K27" s="13">
        <v>74.157508373260498</v>
      </c>
      <c r="L27" s="13">
        <v>980.63552783368596</v>
      </c>
      <c r="M27" s="9">
        <f>(L27-L37)/L27</f>
        <v>5.1145942004043141E-2</v>
      </c>
      <c r="N27" s="7">
        <v>0.137286228172152</v>
      </c>
      <c r="O27" s="7">
        <v>0.44454436602327502</v>
      </c>
      <c r="P27" s="13">
        <v>206.48213458061201</v>
      </c>
      <c r="Q27" s="13">
        <v>605.68763809248196</v>
      </c>
      <c r="R27" s="8">
        <f>(Q27-Q37)/P27</f>
        <v>5.4485507834130587E-2</v>
      </c>
      <c r="S27" s="7">
        <v>0.13005961737008401</v>
      </c>
      <c r="T27" s="7">
        <v>0.35997212622768099</v>
      </c>
      <c r="U27" s="13">
        <v>258.84642744064303</v>
      </c>
    </row>
    <row r="28" spans="1:21" x14ac:dyDescent="0.25">
      <c r="A28" s="7" t="s">
        <v>6</v>
      </c>
      <c r="B28" s="13">
        <v>1233.2799468396699</v>
      </c>
      <c r="C28" s="9">
        <f>(B28-B37)/B28</f>
        <v>0.11307790430697696</v>
      </c>
      <c r="D28" s="7">
        <v>0.11728767920491399</v>
      </c>
      <c r="E28" s="7">
        <v>0.33893592688872198</v>
      </c>
      <c r="F28" s="7">
        <v>226.903708934783</v>
      </c>
      <c r="G28" s="13">
        <v>497.98312233013399</v>
      </c>
      <c r="H28" s="9">
        <f>(G28-G37)/G28</f>
        <v>3.3630186562295793E-2</v>
      </c>
      <c r="I28" s="7">
        <v>0.146078944655363</v>
      </c>
      <c r="J28" s="7">
        <v>0.45908424636106598</v>
      </c>
      <c r="K28" s="13">
        <v>71.886588335037203</v>
      </c>
      <c r="L28" s="13">
        <v>964.80968081048195</v>
      </c>
      <c r="M28" s="9">
        <f>(L28-L37)/L28</f>
        <v>3.5581816282817057E-2</v>
      </c>
      <c r="N28" s="7">
        <v>0.135070653900389</v>
      </c>
      <c r="O28" s="7">
        <v>0.45713767354738399</v>
      </c>
      <c r="P28" s="13">
        <v>209.43595123291001</v>
      </c>
      <c r="Q28" s="13">
        <v>662.04321905614495</v>
      </c>
      <c r="R28" s="8">
        <f>(Q28-Q37)/P28</f>
        <v>0.32279971288109771</v>
      </c>
      <c r="S28" s="7">
        <v>0.14216088019242901</v>
      </c>
      <c r="T28" s="7">
        <v>0.473281247676544</v>
      </c>
      <c r="U28" s="13">
        <v>126.26682543754499</v>
      </c>
    </row>
    <row r="29" spans="1:21" x14ac:dyDescent="0.25">
      <c r="A29" s="7" t="s">
        <v>7</v>
      </c>
      <c r="B29" s="13">
        <v>1183.6880526718201</v>
      </c>
      <c r="C29" s="9">
        <f>(B29-B37)/B29</f>
        <v>7.5919341621939265E-2</v>
      </c>
      <c r="D29" s="7">
        <v>0.112571379236502</v>
      </c>
      <c r="E29" s="7">
        <v>0.33019958152304701</v>
      </c>
      <c r="F29" s="7">
        <v>223.94691514968801</v>
      </c>
      <c r="G29" s="13">
        <v>481.68023165137799</v>
      </c>
      <c r="H29" s="9">
        <f>(G29-G37)/G29</f>
        <v>9.2255110523737196E-4</v>
      </c>
      <c r="I29" s="7">
        <v>0.14129663586135999</v>
      </c>
      <c r="J29" s="7">
        <v>0.470628556210543</v>
      </c>
      <c r="K29" s="13">
        <v>73.316980600356999</v>
      </c>
      <c r="L29" s="13">
        <v>980.898662580257</v>
      </c>
      <c r="M29" s="9">
        <f>(L29-L37)/L29</f>
        <v>5.1400480501859927E-2</v>
      </c>
      <c r="N29" s="7">
        <v>0.13732306629990901</v>
      </c>
      <c r="O29" s="7">
        <v>0.45713767354738399</v>
      </c>
      <c r="P29" s="13">
        <v>210.24986910819999</v>
      </c>
      <c r="Q29" s="13">
        <v>650.08672711756196</v>
      </c>
      <c r="R29" s="8">
        <f>(Q29-Q37)/P29</f>
        <v>0.26468208147963862</v>
      </c>
      <c r="S29" s="7">
        <v>0.139593456542315</v>
      </c>
      <c r="T29" s="7">
        <v>0.327008384986889</v>
      </c>
      <c r="U29" s="13">
        <v>127.610713720321</v>
      </c>
    </row>
    <row r="30" spans="1:21" x14ac:dyDescent="0.25">
      <c r="A30" s="7" t="s">
        <v>8</v>
      </c>
      <c r="B30" s="13">
        <v>1276.4848346403501</v>
      </c>
      <c r="C30" s="9">
        <f>(B30-B37)/B30</f>
        <v>0.14309735192787851</v>
      </c>
      <c r="D30" s="7">
        <v>0.121396560593471</v>
      </c>
      <c r="E30" s="7">
        <v>0.45142302264511802</v>
      </c>
      <c r="F30" s="7">
        <v>222.87137269973701</v>
      </c>
      <c r="G30" s="13">
        <v>527.93629018471597</v>
      </c>
      <c r="H30" s="9">
        <f>(G30-G37)/G30</f>
        <v>8.8458463704170168E-2</v>
      </c>
      <c r="I30" s="7">
        <v>0.15486544153262399</v>
      </c>
      <c r="J30" s="7">
        <v>0.50603710067365804</v>
      </c>
      <c r="K30" s="13">
        <v>73.973477602005005</v>
      </c>
      <c r="L30" s="13">
        <v>1063.22672178315</v>
      </c>
      <c r="M30" s="9">
        <f>(L30-L37)/L30</f>
        <v>0.12485269516224994</v>
      </c>
      <c r="N30" s="7">
        <v>0.14884876407436001</v>
      </c>
      <c r="O30" s="7">
        <v>0.36342052680301001</v>
      </c>
      <c r="P30" s="13">
        <v>186.01306414604099</v>
      </c>
      <c r="Q30" s="13">
        <v>690.62648832423395</v>
      </c>
      <c r="R30" s="8">
        <f>(Q30-Q37)/P30</f>
        <v>0.51710956235596839</v>
      </c>
      <c r="S30" s="7">
        <v>0.148298580271469</v>
      </c>
      <c r="T30" s="7">
        <v>0.62932989042006005</v>
      </c>
      <c r="U30" s="13">
        <v>128.55694651603699</v>
      </c>
    </row>
    <row r="31" spans="1:21" x14ac:dyDescent="0.25">
      <c r="A31" s="7" t="s">
        <v>9</v>
      </c>
      <c r="B31" s="13">
        <v>1167.8471513979</v>
      </c>
      <c r="C31" s="9">
        <f>(B31-B37)/B31</f>
        <v>6.3384935504679787E-2</v>
      </c>
      <c r="D31" s="7">
        <v>0.13119759923146401</v>
      </c>
      <c r="E31" s="7">
        <v>0.43598568414535099</v>
      </c>
      <c r="F31" s="7">
        <v>651.93691563606205</v>
      </c>
      <c r="G31" s="13">
        <v>524.873038606249</v>
      </c>
      <c r="H31" s="9">
        <f>(G31-G37)/G31</f>
        <v>8.3138546610864991E-2</v>
      </c>
      <c r="I31" s="7">
        <v>0.18402592086943201</v>
      </c>
      <c r="J31" s="7">
        <v>0.53614409473264402</v>
      </c>
      <c r="K31" s="13">
        <v>219.02691578865</v>
      </c>
      <c r="L31" s="13">
        <v>1011.49999212219</v>
      </c>
      <c r="M31" s="9">
        <f>(L31-L37)/L31</f>
        <v>8.0098855910225905E-2</v>
      </c>
      <c r="N31" s="7">
        <v>0.16482686048602299</v>
      </c>
      <c r="O31" s="7">
        <v>0.55056952153831595</v>
      </c>
      <c r="P31" s="13">
        <v>577.64943647384598</v>
      </c>
      <c r="Q31" s="13">
        <v>672.38093390964104</v>
      </c>
      <c r="R31" s="8">
        <f>(Q31-Q37)/P31</f>
        <v>0.13493232202259414</v>
      </c>
      <c r="S31" s="7">
        <v>0.16929209147938001</v>
      </c>
      <c r="T31" s="7">
        <v>0.478743682220241</v>
      </c>
      <c r="U31" s="13">
        <v>429.93959403038002</v>
      </c>
    </row>
    <row r="32" spans="1:21" x14ac:dyDescent="0.25">
      <c r="A32" s="7" t="s">
        <v>12</v>
      </c>
      <c r="B32" s="13">
        <v>1345.10473869265</v>
      </c>
      <c r="C32" s="9">
        <f>(B32-B37)/B32</f>
        <v>0.18681184924651917</v>
      </c>
      <c r="D32" s="7">
        <v>0.127922466827641</v>
      </c>
      <c r="E32" s="7">
        <v>0.43801081931590502</v>
      </c>
      <c r="F32" s="7">
        <v>259.80315399169899</v>
      </c>
      <c r="G32" s="13">
        <v>527.79318093236395</v>
      </c>
      <c r="H32" s="9">
        <f>(G32-G37)/G32</f>
        <v>8.821130244392679E-2</v>
      </c>
      <c r="I32" s="7">
        <v>0.15482346169913799</v>
      </c>
      <c r="J32" s="7">
        <v>0.39569623005590798</v>
      </c>
      <c r="K32" s="13">
        <v>84.927749633789006</v>
      </c>
      <c r="L32" s="13">
        <v>1044.30545088129</v>
      </c>
      <c r="M32" s="9">
        <f>(L32-L37)/L32</f>
        <v>0.10899631978865244</v>
      </c>
      <c r="N32" s="7">
        <v>0.14619983912659801</v>
      </c>
      <c r="O32" s="7">
        <v>0.48389095586701802</v>
      </c>
      <c r="P32" s="13">
        <v>227.390644550323</v>
      </c>
      <c r="Q32" s="13">
        <v>666.77294774151596</v>
      </c>
      <c r="R32" s="8">
        <f>(Q32-Q37)/P32</f>
        <v>0.31811156414715919</v>
      </c>
      <c r="S32" s="7">
        <v>0.14317649726036399</v>
      </c>
      <c r="T32" s="7">
        <v>0.47567940453048202</v>
      </c>
      <c r="U32" s="13">
        <v>159.46832251548699</v>
      </c>
    </row>
    <row r="33" spans="1:21" x14ac:dyDescent="0.25">
      <c r="A33" s="7" t="s">
        <v>10</v>
      </c>
      <c r="B33" s="13">
        <v>1204.6236329825699</v>
      </c>
      <c r="C33" s="9">
        <f>(B33-B37)/B33</f>
        <v>9.1979266321560713E-2</v>
      </c>
      <c r="D33" s="7">
        <v>0.114562399713036</v>
      </c>
      <c r="E33" s="7">
        <v>0.47313500834990702</v>
      </c>
      <c r="F33" s="7">
        <v>213.60859060287399</v>
      </c>
      <c r="G33" s="13">
        <v>519.92908772475505</v>
      </c>
      <c r="H33" s="9">
        <f>(G33-G37)/G33</f>
        <v>7.4420207710982719E-2</v>
      </c>
      <c r="I33" s="7">
        <v>0.15251659950858101</v>
      </c>
      <c r="J33" s="7">
        <v>0.388169454259987</v>
      </c>
      <c r="K33" s="13">
        <v>74.343465328216496</v>
      </c>
      <c r="L33" s="13">
        <v>1013.96316069741</v>
      </c>
      <c r="M33" s="9">
        <f>(L33-L37)/L33</f>
        <v>8.233352446452763E-2</v>
      </c>
      <c r="N33" s="7">
        <v>0.141952003457568</v>
      </c>
      <c r="O33" s="7">
        <v>0.46988247430991498</v>
      </c>
      <c r="P33" s="13">
        <v>192.09100437164301</v>
      </c>
      <c r="Q33" s="13">
        <v>676.22421717582495</v>
      </c>
      <c r="R33" s="8">
        <f>(Q33-Q37)/P33</f>
        <v>0.42577143740894785</v>
      </c>
      <c r="S33" s="7">
        <v>0.14520597319643999</v>
      </c>
      <c r="T33" s="7">
        <v>0.53959268553195905</v>
      </c>
      <c r="U33" s="13">
        <v>136.225767850875</v>
      </c>
    </row>
    <row r="34" spans="1:21" x14ac:dyDescent="0.25">
      <c r="A34" s="7" t="s">
        <v>68</v>
      </c>
      <c r="B34" s="7">
        <v>1311.5076150157799</v>
      </c>
      <c r="C34" s="9">
        <f>(B34-B37)/B34</f>
        <v>0.16598026385530418</v>
      </c>
      <c r="D34" s="7">
        <f>B34/10515</f>
        <v>0.12472730527967475</v>
      </c>
      <c r="F34" s="7">
        <v>7.6305503845214799</v>
      </c>
      <c r="G34" s="6">
        <v>619.650595599707</v>
      </c>
      <c r="H34" s="9">
        <f>(G34-G37)/G34</f>
        <v>0.22337546281941381</v>
      </c>
      <c r="I34" s="7">
        <v>0.18176902188316399</v>
      </c>
      <c r="K34" s="7">
        <v>2.5040130600000001</v>
      </c>
      <c r="L34" s="13">
        <v>1022.3125027086299</v>
      </c>
      <c r="M34" s="9">
        <f>(L34-L37)/L34</f>
        <v>8.9828210518132709E-2</v>
      </c>
      <c r="N34" s="15">
        <v>0.14312088796144901</v>
      </c>
      <c r="P34" s="13">
        <v>5.4472312927245996</v>
      </c>
      <c r="Q34" s="13">
        <v>687.88717087126895</v>
      </c>
      <c r="R34" s="8">
        <f>(Q34-Q37)/Q34</f>
        <v>0.13585050092113887</v>
      </c>
      <c r="S34" s="7">
        <v>0.14771036522896</v>
      </c>
      <c r="U34" s="13">
        <v>3.88114309310913</v>
      </c>
    </row>
    <row r="35" spans="1:21" x14ac:dyDescent="0.25">
      <c r="A35" s="7" t="s">
        <v>83</v>
      </c>
      <c r="B35" s="13">
        <v>1093.82</v>
      </c>
      <c r="C35" s="9">
        <v>0</v>
      </c>
      <c r="D35" s="15">
        <v>0.104</v>
      </c>
      <c r="G35" s="13">
        <v>481.24</v>
      </c>
      <c r="H35" s="9">
        <v>0</v>
      </c>
      <c r="I35" s="15">
        <v>0.14099999999999999</v>
      </c>
      <c r="K35" s="7"/>
      <c r="N35" s="15"/>
      <c r="Q35" s="13">
        <v>594.43735413118202</v>
      </c>
      <c r="R35" s="8">
        <v>0</v>
      </c>
    </row>
    <row r="36" spans="1:21" x14ac:dyDescent="0.25">
      <c r="A36" s="7" t="s">
        <v>84</v>
      </c>
      <c r="B36" s="13">
        <v>1093.82</v>
      </c>
      <c r="C36" s="9">
        <v>0</v>
      </c>
      <c r="D36" s="15">
        <v>0.104</v>
      </c>
      <c r="F36" s="7">
        <v>870.32</v>
      </c>
      <c r="G36" s="13">
        <v>481.24</v>
      </c>
      <c r="H36" s="9">
        <v>0</v>
      </c>
      <c r="I36" s="15">
        <v>0.14099999999999999</v>
      </c>
      <c r="K36" s="7">
        <v>329.21</v>
      </c>
      <c r="L36" s="13">
        <v>942.29</v>
      </c>
      <c r="N36" s="15"/>
      <c r="P36" s="13">
        <v>7944.75</v>
      </c>
      <c r="Q36" s="13">
        <v>594.43735413118202</v>
      </c>
      <c r="R36" s="8">
        <v>0</v>
      </c>
      <c r="U36" s="13">
        <v>597.30482268333401</v>
      </c>
    </row>
    <row r="37" spans="1:21" x14ac:dyDescent="0.25">
      <c r="A37" s="7" t="s">
        <v>11</v>
      </c>
      <c r="B37" s="14">
        <v>1093.8232350272201</v>
      </c>
      <c r="C37" s="10">
        <v>0</v>
      </c>
      <c r="D37" s="12">
        <v>0.10402503423939299</v>
      </c>
      <c r="E37" s="12">
        <v>0.29254319370564502</v>
      </c>
      <c r="F37" s="7">
        <v>705.65</v>
      </c>
      <c r="G37" s="14">
        <v>481.23585702129702</v>
      </c>
      <c r="H37" s="10">
        <v>0</v>
      </c>
      <c r="I37" s="12">
        <v>0.14116628249377999</v>
      </c>
      <c r="J37" s="12">
        <v>0.470628556210543</v>
      </c>
      <c r="K37" s="14">
        <v>306.29003858566199</v>
      </c>
      <c r="L37" s="14">
        <v>930.48</v>
      </c>
      <c r="M37" s="10">
        <v>0</v>
      </c>
      <c r="N37" s="12">
        <v>0.13313323290790899</v>
      </c>
      <c r="O37" s="7">
        <v>0.45713767354738399</v>
      </c>
      <c r="P37" s="13">
        <v>851.42813205718903</v>
      </c>
      <c r="Q37" s="13">
        <v>594.43735413118202</v>
      </c>
      <c r="R37" s="8">
        <v>0</v>
      </c>
      <c r="S37" s="7">
        <v>0.12764383812136099</v>
      </c>
      <c r="T37" s="7">
        <v>0.327008384986889</v>
      </c>
      <c r="U37" s="28">
        <v>473.91</v>
      </c>
    </row>
    <row r="54" spans="2:23" x14ac:dyDescent="0.25">
      <c r="B54" s="6"/>
    </row>
    <row r="55" spans="2:23" x14ac:dyDescent="0.25">
      <c r="B55" s="13"/>
      <c r="D55" s="13"/>
      <c r="F55" s="13"/>
      <c r="G55" s="7"/>
      <c r="H55" s="13"/>
      <c r="J55" s="9"/>
      <c r="K55" s="7"/>
      <c r="L55" s="7"/>
      <c r="M55" s="13"/>
      <c r="N55" s="13"/>
      <c r="O55" s="9"/>
      <c r="P55" s="7"/>
      <c r="Q55" s="7"/>
      <c r="R55" s="13"/>
      <c r="S55" s="13"/>
      <c r="T55" s="8"/>
      <c r="U55" s="7"/>
      <c r="W55" s="13"/>
    </row>
    <row r="56" spans="2:23" x14ac:dyDescent="0.25">
      <c r="B56" s="13"/>
      <c r="D56" s="13"/>
      <c r="F56" s="13"/>
      <c r="G56" s="7"/>
      <c r="H56" s="13"/>
      <c r="J56" s="9"/>
      <c r="K56" s="7"/>
      <c r="L56" s="7"/>
      <c r="M56" s="13"/>
      <c r="N56" s="13"/>
      <c r="O56" s="9"/>
      <c r="P56" s="7"/>
      <c r="Q56" s="7"/>
      <c r="R56" s="13"/>
      <c r="S56" s="13"/>
      <c r="T56" s="8"/>
      <c r="U56" s="7"/>
      <c r="W56" s="13"/>
    </row>
    <row r="57" spans="2:23" x14ac:dyDescent="0.25">
      <c r="B57" s="13"/>
      <c r="D57" s="13"/>
      <c r="F57" s="13"/>
      <c r="G57" s="7"/>
      <c r="H57" s="13"/>
      <c r="J57" s="9"/>
      <c r="K57" s="7"/>
      <c r="L57" s="7"/>
      <c r="M57" s="13"/>
      <c r="N57" s="13"/>
      <c r="O57" s="9"/>
      <c r="P57" s="7"/>
      <c r="Q57" s="7"/>
      <c r="R57" s="13"/>
      <c r="S57" s="13"/>
      <c r="T57" s="8"/>
      <c r="U57" s="7"/>
      <c r="W57" s="13"/>
    </row>
    <row r="58" spans="2:23" x14ac:dyDescent="0.25">
      <c r="B58" s="13"/>
      <c r="D58" s="13"/>
      <c r="F58" s="13"/>
      <c r="G58" s="7"/>
      <c r="H58" s="13"/>
      <c r="J58" s="9"/>
      <c r="K58" s="7"/>
      <c r="L58" s="7"/>
      <c r="M58" s="13"/>
      <c r="N58" s="13"/>
      <c r="O58" s="9"/>
      <c r="P58" s="7"/>
      <c r="Q58" s="7"/>
      <c r="R58" s="13"/>
      <c r="S58" s="13"/>
      <c r="T58" s="8"/>
      <c r="U58" s="7"/>
      <c r="W58" s="13"/>
    </row>
    <row r="59" spans="2:23" x14ac:dyDescent="0.25">
      <c r="B59" s="13"/>
      <c r="D59" s="13"/>
      <c r="F59" s="13"/>
      <c r="G59" s="7"/>
      <c r="H59" s="13"/>
      <c r="J59" s="9"/>
      <c r="K59" s="7"/>
      <c r="L59" s="7"/>
      <c r="M59" s="13"/>
      <c r="N59" s="13"/>
      <c r="O59" s="9"/>
      <c r="P59" s="7"/>
      <c r="Q59" s="7"/>
      <c r="R59" s="13"/>
      <c r="S59" s="13"/>
      <c r="T59" s="8"/>
      <c r="U59" s="7"/>
      <c r="W59" s="13"/>
    </row>
    <row r="60" spans="2:23" x14ac:dyDescent="0.25">
      <c r="B60" s="13"/>
      <c r="D60" s="13"/>
      <c r="F60" s="13"/>
      <c r="G60" s="7"/>
      <c r="H60" s="13"/>
      <c r="J60" s="9"/>
      <c r="K60" s="7"/>
      <c r="L60" s="7"/>
      <c r="M60" s="13"/>
      <c r="N60" s="13"/>
      <c r="O60" s="9"/>
      <c r="P60" s="7"/>
      <c r="Q60" s="7"/>
      <c r="R60" s="13"/>
      <c r="S60" s="13"/>
      <c r="T60" s="8"/>
      <c r="U60" s="7"/>
      <c r="W60" s="13"/>
    </row>
    <row r="61" spans="2:23" x14ac:dyDescent="0.25">
      <c r="B61" s="13"/>
      <c r="D61" s="13"/>
      <c r="F61" s="13"/>
      <c r="G61" s="7"/>
      <c r="H61" s="13"/>
      <c r="J61" s="9"/>
      <c r="K61" s="7"/>
      <c r="L61" s="7"/>
      <c r="M61" s="13"/>
      <c r="N61" s="13"/>
      <c r="O61" s="9"/>
      <c r="P61" s="7"/>
      <c r="Q61" s="7"/>
      <c r="R61" s="13"/>
      <c r="S61" s="13"/>
      <c r="T61" s="8"/>
      <c r="U61" s="7"/>
      <c r="W61" s="13"/>
    </row>
    <row r="62" spans="2:23" x14ac:dyDescent="0.25">
      <c r="B62" s="13"/>
      <c r="D62" s="13"/>
      <c r="F62" s="13"/>
      <c r="G62" s="7"/>
      <c r="H62" s="13"/>
      <c r="J62" s="9"/>
      <c r="K62" s="7"/>
      <c r="L62" s="7"/>
      <c r="M62" s="13"/>
      <c r="N62" s="13"/>
      <c r="O62" s="9"/>
      <c r="P62" s="7"/>
      <c r="Q62" s="7"/>
      <c r="R62" s="13"/>
      <c r="S62" s="13"/>
      <c r="T62" s="8"/>
      <c r="U62" s="7"/>
      <c r="W62" s="13"/>
    </row>
    <row r="63" spans="2:23" x14ac:dyDescent="0.25">
      <c r="B63" s="13"/>
      <c r="D63" s="13"/>
      <c r="F63" s="13"/>
      <c r="G63" s="7"/>
      <c r="H63" s="13"/>
      <c r="J63" s="9"/>
      <c r="K63" s="7"/>
      <c r="L63" s="7"/>
      <c r="M63" s="13"/>
      <c r="N63" s="13"/>
      <c r="O63" s="9"/>
      <c r="P63" s="7"/>
      <c r="Q63" s="7"/>
      <c r="R63" s="13"/>
      <c r="S63" s="13"/>
      <c r="T63" s="8"/>
      <c r="U63" s="7"/>
      <c r="W63" s="13"/>
    </row>
    <row r="64" spans="2:23" x14ac:dyDescent="0.25">
      <c r="B64" s="13"/>
      <c r="D64" s="13"/>
      <c r="F64" s="13"/>
      <c r="G64" s="7"/>
      <c r="H64" s="13"/>
      <c r="J64" s="9"/>
      <c r="K64" s="7"/>
      <c r="L64" s="7"/>
      <c r="M64" s="13"/>
      <c r="N64" s="13"/>
      <c r="O64" s="9"/>
      <c r="P64" s="7"/>
      <c r="Q64" s="7"/>
      <c r="R64" s="13"/>
      <c r="S64" s="13"/>
      <c r="T64" s="8"/>
      <c r="U64" s="7"/>
      <c r="W64" s="13"/>
    </row>
    <row r="65" spans="2:23" x14ac:dyDescent="0.25">
      <c r="B65" s="6"/>
      <c r="D65" s="13"/>
      <c r="F65" s="13"/>
      <c r="G65" s="7"/>
      <c r="H65" s="13"/>
      <c r="J65" s="9"/>
      <c r="K65" s="7"/>
      <c r="L65" s="7"/>
      <c r="M65" s="13"/>
      <c r="N65" s="13"/>
      <c r="O65" s="9"/>
      <c r="P65" s="7"/>
      <c r="Q65" s="7"/>
      <c r="R65" s="13"/>
      <c r="S65" s="13"/>
      <c r="T65" s="8"/>
      <c r="U65" s="7"/>
      <c r="W65" s="13"/>
    </row>
    <row r="66" spans="2:23" x14ac:dyDescent="0.25">
      <c r="B66" s="14"/>
      <c r="D66" s="14"/>
      <c r="F66" s="14"/>
      <c r="G66" s="7"/>
      <c r="H66" s="13"/>
      <c r="J66" s="9"/>
      <c r="K66" s="7"/>
      <c r="L66" s="7"/>
      <c r="M66" s="13"/>
      <c r="N66" s="13"/>
      <c r="O66" s="9"/>
      <c r="P66" s="7"/>
      <c r="Q66" s="7"/>
      <c r="R66" s="13"/>
      <c r="S66" s="13"/>
      <c r="T66" s="8"/>
      <c r="U66" s="7"/>
      <c r="W66" s="13"/>
    </row>
  </sheetData>
  <mergeCells count="10">
    <mergeCell ref="B22:F22"/>
    <mergeCell ref="G22:K22"/>
    <mergeCell ref="L22:P22"/>
    <mergeCell ref="Q22:U22"/>
    <mergeCell ref="B1:D1"/>
    <mergeCell ref="E1:G1"/>
    <mergeCell ref="H1:J1"/>
    <mergeCell ref="K1:M1"/>
    <mergeCell ref="N1:P1"/>
    <mergeCell ref="Q1:S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FB16F-CAF8-44EC-AF6B-9EB29EB5764C}">
  <dimension ref="A2:P19"/>
  <sheetViews>
    <sheetView topLeftCell="A5" zoomScale="114" workbookViewId="0">
      <selection activeCell="F10" sqref="F10"/>
    </sheetView>
  </sheetViews>
  <sheetFormatPr defaultRowHeight="14" x14ac:dyDescent="0.25"/>
  <cols>
    <col min="1" max="16384" width="8.7265625" style="7"/>
  </cols>
  <sheetData>
    <row r="2" spans="1:16" x14ac:dyDescent="0.25">
      <c r="A2" s="7" t="s">
        <v>55</v>
      </c>
      <c r="B2" s="7" t="s">
        <v>42</v>
      </c>
      <c r="C2" s="7" t="s">
        <v>51</v>
      </c>
      <c r="D2" s="7" t="s">
        <v>42</v>
      </c>
      <c r="E2" s="7" t="s">
        <v>51</v>
      </c>
      <c r="F2" s="7" t="s">
        <v>42</v>
      </c>
      <c r="G2" s="7" t="s">
        <v>51</v>
      </c>
      <c r="H2" s="7" t="s">
        <v>42</v>
      </c>
      <c r="I2" s="7" t="s">
        <v>51</v>
      </c>
    </row>
    <row r="3" spans="1:16" x14ac:dyDescent="0.25">
      <c r="A3" s="7">
        <v>20</v>
      </c>
      <c r="B3" s="13">
        <v>1114.74982591609</v>
      </c>
      <c r="C3" s="13">
        <v>622.31071639060895</v>
      </c>
      <c r="D3" s="13">
        <v>481.5857021297</v>
      </c>
      <c r="E3" s="13">
        <v>256.33221411705</v>
      </c>
      <c r="F3" s="13">
        <v>924.82896230914298</v>
      </c>
      <c r="G3" s="13">
        <v>540.21391463279701</v>
      </c>
      <c r="H3" s="13">
        <v>621.21884686968701</v>
      </c>
      <c r="I3" s="13">
        <v>339.27122807502701</v>
      </c>
    </row>
    <row r="4" spans="1:16" x14ac:dyDescent="0.25">
      <c r="A4" s="7">
        <v>30</v>
      </c>
      <c r="B4" s="13">
        <v>1102.5839314048801</v>
      </c>
      <c r="C4" s="13">
        <v>937.30328893661499</v>
      </c>
      <c r="D4" s="13">
        <v>481.24638094606303</v>
      </c>
      <c r="E4" s="13">
        <v>347.715281486511</v>
      </c>
      <c r="F4" s="13">
        <v>922.926619168927</v>
      </c>
      <c r="G4" s="13">
        <v>794.80392980575505</v>
      </c>
      <c r="H4" s="13">
        <v>595.02283121401297</v>
      </c>
      <c r="I4" s="13">
        <v>494.59479999542202</v>
      </c>
    </row>
    <row r="5" spans="1:16" x14ac:dyDescent="0.25">
      <c r="A5" s="7">
        <v>40</v>
      </c>
      <c r="B5" s="13">
        <v>1108.5110048639499</v>
      </c>
      <c r="C5" s="13">
        <v>1238.33082294464</v>
      </c>
      <c r="D5" s="13">
        <v>487.23585702129702</v>
      </c>
      <c r="E5" s="13">
        <v>455.14773297309802</v>
      </c>
      <c r="F5" s="13">
        <v>966.39109377737896</v>
      </c>
      <c r="G5" s="13">
        <v>1081.6113135814601</v>
      </c>
      <c r="H5" s="13">
        <v>610.06866025523902</v>
      </c>
      <c r="I5" s="13">
        <v>645.78813743591297</v>
      </c>
    </row>
    <row r="6" spans="1:16" x14ac:dyDescent="0.25">
      <c r="A6" s="7">
        <v>50</v>
      </c>
      <c r="B6" s="13">
        <v>1144.49305854164</v>
      </c>
      <c r="C6" s="13">
        <v>1622.9871017932801</v>
      </c>
      <c r="D6" s="13">
        <v>491.12523590550597</v>
      </c>
      <c r="E6" s="13">
        <v>567.06640243530205</v>
      </c>
      <c r="F6" s="13">
        <v>919.25367943974095</v>
      </c>
      <c r="G6" s="13">
        <v>1349.59898185729</v>
      </c>
      <c r="H6" s="13">
        <v>622.74213586999997</v>
      </c>
      <c r="I6" s="13">
        <v>834.53421401977505</v>
      </c>
    </row>
    <row r="7" spans="1:16" x14ac:dyDescent="0.25">
      <c r="M7" s="7">
        <v>1114.74983</v>
      </c>
      <c r="N7" s="7">
        <v>1102.58393</v>
      </c>
      <c r="O7" s="7">
        <v>1108.511</v>
      </c>
      <c r="P7" s="7">
        <v>1144.49306</v>
      </c>
    </row>
    <row r="8" spans="1:16" x14ac:dyDescent="0.25">
      <c r="M8" s="7">
        <v>481.58569999999997</v>
      </c>
      <c r="N8" s="7">
        <v>481.24637999999999</v>
      </c>
      <c r="O8" s="7">
        <v>487.23586</v>
      </c>
      <c r="P8" s="7">
        <v>491.12524000000002</v>
      </c>
    </row>
    <row r="9" spans="1:16" x14ac:dyDescent="0.25">
      <c r="A9" s="7" t="s">
        <v>56</v>
      </c>
      <c r="B9" s="7" t="s">
        <v>46</v>
      </c>
      <c r="C9" s="7" t="s">
        <v>50</v>
      </c>
      <c r="D9" s="7" t="s">
        <v>48</v>
      </c>
      <c r="E9" s="7" t="s">
        <v>49</v>
      </c>
      <c r="M9" s="7">
        <v>924.82896000000005</v>
      </c>
      <c r="N9" s="7">
        <v>922.92661999999996</v>
      </c>
      <c r="O9" s="7">
        <v>966.39108999999996</v>
      </c>
      <c r="P9" s="7">
        <v>919.25368000000003</v>
      </c>
    </row>
    <row r="10" spans="1:16" x14ac:dyDescent="0.25">
      <c r="A10" s="7">
        <v>20</v>
      </c>
      <c r="B10" s="7">
        <v>1150.54225135458</v>
      </c>
      <c r="C10" s="7">
        <v>491.12523590550683</v>
      </c>
      <c r="D10" s="7">
        <v>927.80494624639005</v>
      </c>
      <c r="E10" s="7">
        <v>623.68880105132405</v>
      </c>
      <c r="M10" s="7">
        <v>621.21884999999997</v>
      </c>
      <c r="N10" s="7">
        <v>595.02283</v>
      </c>
      <c r="O10" s="7">
        <v>610.06866000000002</v>
      </c>
      <c r="P10" s="7">
        <v>622.74213999999995</v>
      </c>
    </row>
    <row r="11" spans="1:16" x14ac:dyDescent="0.25">
      <c r="A11" s="7">
        <v>100</v>
      </c>
      <c r="B11" s="7">
        <v>1115.6262035161801</v>
      </c>
      <c r="C11" s="7">
        <v>487.24638094606303</v>
      </c>
      <c r="D11" s="7">
        <v>925.59866356567795</v>
      </c>
      <c r="E11" s="7">
        <v>623.68880105132405</v>
      </c>
    </row>
    <row r="12" spans="1:16" x14ac:dyDescent="0.25">
      <c r="A12" s="7">
        <v>200</v>
      </c>
      <c r="B12" s="7">
        <v>1115.6262035161801</v>
      </c>
      <c r="C12" s="7">
        <v>487.24638094606303</v>
      </c>
      <c r="D12" s="7">
        <v>925.59866356567795</v>
      </c>
      <c r="E12" s="7">
        <v>623.68880105132405</v>
      </c>
      <c r="I12" s="7">
        <v>1114.74983</v>
      </c>
      <c r="J12" s="7">
        <v>481.58569999999997</v>
      </c>
      <c r="K12" s="7">
        <v>924.82896000000005</v>
      </c>
      <c r="L12" s="7">
        <v>621.21884999999997</v>
      </c>
    </row>
    <row r="13" spans="1:16" x14ac:dyDescent="0.25">
      <c r="A13" s="7">
        <v>300</v>
      </c>
      <c r="B13" s="7">
        <v>1115.6262035161801</v>
      </c>
      <c r="C13" s="7">
        <v>487.24638094606303</v>
      </c>
      <c r="D13" s="7">
        <v>925.59866356567795</v>
      </c>
      <c r="E13" s="7">
        <v>623.68880105132405</v>
      </c>
      <c r="I13" s="7">
        <v>1102.58393</v>
      </c>
      <c r="J13" s="7">
        <v>481.24637999999999</v>
      </c>
      <c r="K13" s="7">
        <v>922.92661999999996</v>
      </c>
      <c r="L13" s="7">
        <v>595.02283</v>
      </c>
    </row>
    <row r="14" spans="1:16" x14ac:dyDescent="0.25">
      <c r="I14" s="7">
        <v>1108.511</v>
      </c>
      <c r="J14" s="7">
        <v>487.23586</v>
      </c>
      <c r="K14" s="7">
        <v>966.39108999999996</v>
      </c>
      <c r="L14" s="7">
        <v>610.06866000000002</v>
      </c>
    </row>
    <row r="15" spans="1:16" x14ac:dyDescent="0.25">
      <c r="I15" s="7">
        <v>1144.49306</v>
      </c>
      <c r="J15" s="7">
        <v>491.12524000000002</v>
      </c>
      <c r="K15" s="7">
        <v>919.25368000000003</v>
      </c>
      <c r="L15" s="7">
        <v>622.74213999999995</v>
      </c>
    </row>
    <row r="19" spans="9:9" x14ac:dyDescent="0.25">
      <c r="I19" s="7" t="s">
        <v>52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AF043-7C1E-4553-AEDC-68C28C33D249}">
  <dimension ref="A1:P7"/>
  <sheetViews>
    <sheetView zoomScale="86" zoomScaleNormal="100" workbookViewId="0">
      <selection activeCell="H8" sqref="H8"/>
    </sheetView>
  </sheetViews>
  <sheetFormatPr defaultRowHeight="13" x14ac:dyDescent="0.25"/>
  <cols>
    <col min="1" max="6" width="8.7265625" style="21"/>
    <col min="7" max="7" width="8.7265625" style="25"/>
    <col min="8" max="9" width="8.7265625" style="24"/>
    <col min="10" max="10" width="8.7265625" style="25"/>
    <col min="11" max="12" width="8.7265625" style="24"/>
    <col min="13" max="13" width="8.7265625" style="25"/>
    <col min="14" max="15" width="8.7265625" style="24"/>
    <col min="16" max="16" width="8.7265625" style="25"/>
    <col min="17" max="16384" width="8.7265625" style="21"/>
  </cols>
  <sheetData>
    <row r="1" spans="1:16" x14ac:dyDescent="0.25">
      <c r="A1" s="32"/>
      <c r="B1" s="32" t="s">
        <v>46</v>
      </c>
      <c r="C1" s="32"/>
      <c r="D1" s="32"/>
      <c r="E1" s="32" t="s">
        <v>50</v>
      </c>
      <c r="F1" s="32"/>
      <c r="G1" s="32"/>
      <c r="H1" s="32" t="s">
        <v>53</v>
      </c>
      <c r="I1" s="32"/>
      <c r="J1" s="32"/>
      <c r="K1" s="32" t="s">
        <v>49</v>
      </c>
      <c r="L1" s="32"/>
      <c r="M1" s="32"/>
    </row>
    <row r="2" spans="1:16" x14ac:dyDescent="0.25">
      <c r="A2" s="32"/>
      <c r="B2" s="21" t="s">
        <v>42</v>
      </c>
      <c r="C2" s="21" t="s">
        <v>74</v>
      </c>
      <c r="D2" s="25" t="s">
        <v>43</v>
      </c>
      <c r="E2" s="24" t="s">
        <v>42</v>
      </c>
      <c r="F2" s="24" t="s">
        <v>74</v>
      </c>
      <c r="G2" s="25" t="s">
        <v>43</v>
      </c>
      <c r="H2" s="24" t="s">
        <v>42</v>
      </c>
      <c r="I2" s="24" t="s">
        <v>74</v>
      </c>
      <c r="J2" s="25" t="s">
        <v>43</v>
      </c>
      <c r="K2" s="24" t="s">
        <v>42</v>
      </c>
      <c r="L2" s="24" t="s">
        <v>74</v>
      </c>
      <c r="M2" s="25" t="s">
        <v>43</v>
      </c>
      <c r="N2" s="21"/>
      <c r="O2" s="21"/>
      <c r="P2" s="21"/>
    </row>
    <row r="3" spans="1:16" x14ac:dyDescent="0.25">
      <c r="A3" s="21" t="s">
        <v>4</v>
      </c>
      <c r="B3" s="22">
        <v>1163.7397054635201</v>
      </c>
      <c r="C3" s="22">
        <v>0.110674246834381</v>
      </c>
      <c r="D3" s="25">
        <f>(B3-B6)/B3</f>
        <v>6.0079131190640331E-2</v>
      </c>
      <c r="E3" s="24">
        <v>522.49872199007405</v>
      </c>
      <c r="F3" s="24">
        <v>0.15327037899386101</v>
      </c>
      <c r="G3" s="25">
        <f>(E3-E6)/E3</f>
        <v>8.5400305874663435E-2</v>
      </c>
      <c r="H3" s="24">
        <v>933.64930375640097</v>
      </c>
      <c r="I3" s="24">
        <v>0.13070828836012799</v>
      </c>
      <c r="J3" s="25">
        <f>(H3-H6)/H3</f>
        <v>1.3892878560328484E-2</v>
      </c>
      <c r="K3" s="24">
        <v>609.36086586702095</v>
      </c>
      <c r="L3" s="24">
        <v>0.13084837145523301</v>
      </c>
      <c r="M3" s="25">
        <f>(K3-K6)/K3</f>
        <v>4.3246717655429291E-2</v>
      </c>
      <c r="N3" s="21"/>
      <c r="O3" s="21"/>
      <c r="P3" s="21"/>
    </row>
    <row r="4" spans="1:16" x14ac:dyDescent="0.25">
      <c r="A4" s="21" t="s">
        <v>73</v>
      </c>
      <c r="B4" s="22">
        <v>1142.0861741584299</v>
      </c>
      <c r="C4" s="22">
        <v>0.108614947613736</v>
      </c>
      <c r="D4" s="25">
        <f>(B4-B6)/B4</f>
        <v>4.2258579276448521E-2</v>
      </c>
      <c r="E4" s="24">
        <v>491.12523590550597</v>
      </c>
      <c r="F4" s="24">
        <v>0.144067244325464</v>
      </c>
      <c r="G4" s="25">
        <f>(E4-E6)/E4</f>
        <v>2.6974921311219195E-2</v>
      </c>
      <c r="H4" s="24">
        <v>924.90921561047696</v>
      </c>
      <c r="I4" s="24">
        <v>0.12948470049145699</v>
      </c>
      <c r="J4" s="25">
        <f>(H4-H6)/H4</f>
        <v>4.5744903150373448E-3</v>
      </c>
      <c r="K4" s="24">
        <v>599.297797919299</v>
      </c>
      <c r="L4" s="24">
        <v>0.12868752371039199</v>
      </c>
      <c r="M4" s="25">
        <f>(K4-K6)/K4</f>
        <v>2.7181460411257175E-2</v>
      </c>
      <c r="N4" s="21"/>
      <c r="O4" s="21"/>
      <c r="P4" s="21"/>
    </row>
    <row r="5" spans="1:16" x14ac:dyDescent="0.25">
      <c r="A5" s="21" t="s">
        <v>75</v>
      </c>
      <c r="B5" s="22">
        <v>1133.3481790713699</v>
      </c>
      <c r="C5" s="22">
        <v>0.107783944752389</v>
      </c>
      <c r="D5" s="25">
        <f>(B5-B6)/B5</f>
        <v>3.4874493799897696E-2</v>
      </c>
      <c r="E5" s="24">
        <v>487.24638094606303</v>
      </c>
      <c r="F5" s="24">
        <v>0.14292941652861901</v>
      </c>
      <c r="G5" s="25">
        <f>(E5-E6)/E5</f>
        <v>1.9228895276492963E-2</v>
      </c>
      <c r="H5" s="24">
        <v>922.15754078009104</v>
      </c>
      <c r="I5" s="24">
        <v>0.12909947371973801</v>
      </c>
      <c r="J5" s="25">
        <f>(H5-H6)/H5</f>
        <v>1.6041873034639816E-3</v>
      </c>
      <c r="K5" s="24">
        <v>584.24797905114895</v>
      </c>
      <c r="L5" s="24">
        <v>0.125455868381178</v>
      </c>
      <c r="M5" s="25">
        <f>(K5-K6)/K5</f>
        <v>2.1223359686425528E-3</v>
      </c>
      <c r="N5" s="21"/>
      <c r="O5" s="21"/>
      <c r="P5" s="21"/>
    </row>
    <row r="6" spans="1:16" x14ac:dyDescent="0.25">
      <c r="A6" s="21" t="s">
        <v>11</v>
      </c>
      <c r="B6" s="23">
        <v>1093.8232350272201</v>
      </c>
      <c r="C6" s="23">
        <v>0.10402503423939299</v>
      </c>
      <c r="D6" s="26">
        <f>(B6-B6)/B6</f>
        <v>0</v>
      </c>
      <c r="E6" s="24">
        <v>477.87717131300099</v>
      </c>
      <c r="F6" s="24">
        <v>0.14018104174626</v>
      </c>
      <c r="G6" s="25">
        <f>(E6-E6)/E6</f>
        <v>0</v>
      </c>
      <c r="H6" s="24">
        <v>920.67822736137805</v>
      </c>
      <c r="I6" s="24">
        <v>0.12889237398311301</v>
      </c>
      <c r="J6" s="25">
        <f>(H6-H6)/H6</f>
        <v>0</v>
      </c>
      <c r="K6" s="24">
        <v>583.00800855060197</v>
      </c>
      <c r="L6" s="24">
        <v>0.125189608879236</v>
      </c>
      <c r="M6" s="25">
        <f>(K6-K6)/K6</f>
        <v>0</v>
      </c>
      <c r="N6" s="21"/>
      <c r="O6" s="21"/>
      <c r="P6" s="21"/>
    </row>
    <row r="7" spans="1:16" x14ac:dyDescent="0.25">
      <c r="E7" s="23"/>
      <c r="F7" s="23"/>
      <c r="G7" s="26"/>
      <c r="N7" s="21"/>
      <c r="O7" s="21"/>
      <c r="P7" s="21"/>
    </row>
  </sheetData>
  <mergeCells count="5">
    <mergeCell ref="E1:G1"/>
    <mergeCell ref="H1:J1"/>
    <mergeCell ref="A1:A2"/>
    <mergeCell ref="K1:M1"/>
    <mergeCell ref="B1:D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B2916-EB63-4814-85BD-E3E0187AB314}">
  <dimension ref="A1:M21"/>
  <sheetViews>
    <sheetView zoomScale="130" workbookViewId="0">
      <selection activeCell="C4" sqref="C4"/>
    </sheetView>
  </sheetViews>
  <sheetFormatPr defaultRowHeight="14" x14ac:dyDescent="0.25"/>
  <cols>
    <col min="1" max="1" width="9.453125" style="27" bestFit="1" customWidth="1"/>
    <col min="2" max="2" width="9.54296875" style="27" bestFit="1" customWidth="1"/>
    <col min="3" max="3" width="8.90625" style="27" bestFit="1" customWidth="1"/>
    <col min="4" max="4" width="8.81640625" style="27" bestFit="1" customWidth="1"/>
    <col min="5" max="5" width="9.453125" style="27" bestFit="1" customWidth="1"/>
    <col min="6" max="6" width="8.90625" style="27" bestFit="1" customWidth="1"/>
    <col min="7" max="7" width="8.81640625" style="27" bestFit="1" customWidth="1"/>
    <col min="8" max="8" width="9.54296875" style="27" bestFit="1" customWidth="1"/>
    <col min="9" max="9" width="8.90625" style="27" bestFit="1" customWidth="1"/>
    <col min="10" max="10" width="8.7265625" style="27"/>
    <col min="11" max="12" width="8.90625" style="27" bestFit="1" customWidth="1"/>
    <col min="13" max="16384" width="8.7265625" style="27"/>
  </cols>
  <sheetData>
    <row r="1" spans="1:13" x14ac:dyDescent="0.25">
      <c r="A1" s="33"/>
      <c r="B1" s="33" t="s">
        <v>46</v>
      </c>
      <c r="C1" s="33"/>
      <c r="D1" s="33"/>
      <c r="E1" s="33" t="s">
        <v>50</v>
      </c>
      <c r="F1" s="33"/>
      <c r="G1" s="33"/>
      <c r="H1" s="33" t="s">
        <v>48</v>
      </c>
      <c r="I1" s="33"/>
      <c r="J1" s="33"/>
      <c r="K1" s="33" t="s">
        <v>49</v>
      </c>
      <c r="L1" s="33"/>
      <c r="M1" s="33"/>
    </row>
    <row r="2" spans="1:13" x14ac:dyDescent="0.25">
      <c r="A2" s="33"/>
      <c r="B2" s="27" t="s">
        <v>42</v>
      </c>
      <c r="C2" s="27" t="s">
        <v>74</v>
      </c>
      <c r="D2" s="27" t="s">
        <v>43</v>
      </c>
      <c r="E2" s="27" t="s">
        <v>42</v>
      </c>
      <c r="F2" s="27" t="s">
        <v>74</v>
      </c>
      <c r="G2" s="27" t="s">
        <v>43</v>
      </c>
      <c r="H2" s="27" t="s">
        <v>42</v>
      </c>
      <c r="I2" s="27" t="s">
        <v>74</v>
      </c>
      <c r="J2" s="27" t="s">
        <v>43</v>
      </c>
      <c r="K2" s="27" t="s">
        <v>42</v>
      </c>
      <c r="L2" s="27" t="s">
        <v>74</v>
      </c>
      <c r="M2" s="27" t="s">
        <v>43</v>
      </c>
    </row>
    <row r="3" spans="1:13" x14ac:dyDescent="0.25">
      <c r="A3" s="27" t="s">
        <v>76</v>
      </c>
      <c r="B3" s="27">
        <v>1188.8583705889801</v>
      </c>
      <c r="C3" s="27">
        <v>0.11306308802558</v>
      </c>
      <c r="E3" s="27">
        <v>491.12523590550597</v>
      </c>
      <c r="F3" s="27">
        <v>0.144067244325464</v>
      </c>
      <c r="H3" s="27">
        <v>949.92223753513804</v>
      </c>
      <c r="I3" s="27">
        <v>0.13298645352584801</v>
      </c>
      <c r="K3" s="27">
        <v>633.205408500423</v>
      </c>
      <c r="L3" s="27">
        <v>0.135968522332064</v>
      </c>
    </row>
    <row r="4" spans="1:13" x14ac:dyDescent="0.25">
      <c r="A4" s="27" t="s">
        <v>77</v>
      </c>
      <c r="B4" s="27">
        <v>1272.4303949356599</v>
      </c>
      <c r="C4" s="27">
        <v>0.121010974316277</v>
      </c>
      <c r="E4" s="27">
        <v>567.03405580700803</v>
      </c>
      <c r="F4" s="27">
        <v>0.166334425288063</v>
      </c>
      <c r="H4" s="27">
        <v>1026.2794456895001</v>
      </c>
      <c r="I4" s="27">
        <v>0.143676248871553</v>
      </c>
      <c r="K4" s="27">
        <v>609.36086586702095</v>
      </c>
      <c r="L4" s="27">
        <v>0.13084837145523301</v>
      </c>
    </row>
    <row r="5" spans="1:13" x14ac:dyDescent="0.25">
      <c r="A5" s="27" t="s">
        <v>11</v>
      </c>
      <c r="B5" s="27">
        <v>1121.07930732812</v>
      </c>
      <c r="C5" s="27">
        <v>0.106617147629873</v>
      </c>
      <c r="E5" s="27">
        <v>477.87717131300099</v>
      </c>
      <c r="F5" s="27">
        <v>0.14018104174626</v>
      </c>
      <c r="H5" s="27">
        <v>930.48264760172196</v>
      </c>
      <c r="I5" s="27">
        <v>0.13026496536493301</v>
      </c>
      <c r="K5" s="27">
        <v>582.15756109097697</v>
      </c>
      <c r="L5" s="27">
        <v>0.12500699185977601</v>
      </c>
    </row>
    <row r="6" spans="1:13" x14ac:dyDescent="0.25">
      <c r="C6" s="27">
        <f>C3*1000</f>
        <v>113.06308802558</v>
      </c>
      <c r="F6" s="27">
        <f>F3*1000</f>
        <v>144.067244325464</v>
      </c>
      <c r="I6" s="27">
        <f>I3*1000</f>
        <v>132.98645352584802</v>
      </c>
      <c r="L6" s="27">
        <f>L3*1000</f>
        <v>135.968522332064</v>
      </c>
    </row>
    <row r="7" spans="1:13" x14ac:dyDescent="0.25">
      <c r="C7" s="27">
        <f t="shared" ref="C7:C8" si="0">C4*1000</f>
        <v>121.010974316277</v>
      </c>
      <c r="F7" s="27">
        <f t="shared" ref="F7:F8" si="1">F4*1000</f>
        <v>166.33442528806299</v>
      </c>
      <c r="I7" s="27">
        <f t="shared" ref="I7:I8" si="2">I4*1000</f>
        <v>143.67624887155301</v>
      </c>
      <c r="L7" s="27">
        <f t="shared" ref="L7:L8" si="3">L4*1000</f>
        <v>130.84837145523301</v>
      </c>
    </row>
    <row r="8" spans="1:13" x14ac:dyDescent="0.25">
      <c r="C8" s="27">
        <f t="shared" si="0"/>
        <v>106.617147629873</v>
      </c>
      <c r="F8" s="27">
        <f t="shared" si="1"/>
        <v>140.18104174626001</v>
      </c>
      <c r="I8" s="27">
        <f t="shared" si="2"/>
        <v>130.264965364933</v>
      </c>
      <c r="L8" s="27">
        <f t="shared" si="3"/>
        <v>125.00699185977601</v>
      </c>
    </row>
    <row r="9" spans="1:13" x14ac:dyDescent="0.25">
      <c r="B9" s="33" t="s">
        <v>46</v>
      </c>
      <c r="C9" s="33"/>
      <c r="D9" s="33" t="s">
        <v>50</v>
      </c>
      <c r="E9" s="33"/>
      <c r="F9" s="33" t="s">
        <v>48</v>
      </c>
      <c r="G9" s="33"/>
      <c r="H9" s="33" t="s">
        <v>49</v>
      </c>
      <c r="I9" s="33"/>
    </row>
    <row r="10" spans="1:13" x14ac:dyDescent="0.25">
      <c r="A10" s="27" t="s">
        <v>76</v>
      </c>
      <c r="B10" s="27">
        <v>1188.8583705889801</v>
      </c>
      <c r="C10" s="27">
        <v>113.06308802558</v>
      </c>
      <c r="D10" s="27">
        <v>491.12523590550597</v>
      </c>
      <c r="E10" s="27">
        <v>144.067244325464</v>
      </c>
      <c r="F10" s="27">
        <v>949.92223753513804</v>
      </c>
      <c r="G10" s="27">
        <v>132.98645352584799</v>
      </c>
      <c r="H10" s="27">
        <v>633.205408500423</v>
      </c>
      <c r="I10" s="27">
        <v>135.968522332064</v>
      </c>
    </row>
    <row r="11" spans="1:13" x14ac:dyDescent="0.25">
      <c r="A11" s="27" t="s">
        <v>77</v>
      </c>
      <c r="B11" s="27">
        <v>1272.4303949356599</v>
      </c>
      <c r="C11" s="27">
        <v>121.010974316277</v>
      </c>
      <c r="D11" s="27">
        <v>567.03405580700803</v>
      </c>
      <c r="E11" s="27">
        <v>166.33442528806299</v>
      </c>
      <c r="F11" s="27">
        <v>1026.2794456895001</v>
      </c>
      <c r="G11" s="27">
        <v>143.67624887155301</v>
      </c>
      <c r="H11" s="27">
        <v>609.36086586702095</v>
      </c>
      <c r="I11" s="27">
        <v>130.84837145523301</v>
      </c>
    </row>
    <row r="12" spans="1:13" x14ac:dyDescent="0.25">
      <c r="A12" s="27" t="s">
        <v>11</v>
      </c>
      <c r="B12" s="27">
        <v>1121.07930732812</v>
      </c>
      <c r="C12" s="27">
        <v>106.617147629873</v>
      </c>
      <c r="D12" s="27">
        <v>477.87717131300099</v>
      </c>
      <c r="E12" s="27">
        <v>140.18104174626001</v>
      </c>
      <c r="F12" s="27">
        <v>930.48264760172196</v>
      </c>
      <c r="G12" s="27">
        <v>130.264965364933</v>
      </c>
      <c r="H12" s="27">
        <v>582.15756109097697</v>
      </c>
      <c r="I12" s="27">
        <v>125.00699185977599</v>
      </c>
    </row>
    <row r="14" spans="1:13" x14ac:dyDescent="0.25">
      <c r="A14" s="27">
        <v>1188.8583705889801</v>
      </c>
      <c r="B14" s="27">
        <v>1272.4303949356599</v>
      </c>
      <c r="C14" s="27">
        <v>1121.07930732812</v>
      </c>
    </row>
    <row r="15" spans="1:13" x14ac:dyDescent="0.25">
      <c r="A15" s="27">
        <v>113.06308802558</v>
      </c>
      <c r="B15" s="27">
        <v>121.010974316277</v>
      </c>
      <c r="C15" s="27">
        <v>106.617147629873</v>
      </c>
    </row>
    <row r="16" spans="1:13" x14ac:dyDescent="0.25">
      <c r="A16" s="27">
        <v>491.12523590550597</v>
      </c>
      <c r="B16" s="27">
        <v>567.03405580700803</v>
      </c>
      <c r="C16" s="27">
        <v>477.87717131300099</v>
      </c>
    </row>
    <row r="17" spans="1:3" x14ac:dyDescent="0.25">
      <c r="A17" s="27">
        <v>144.067244325464</v>
      </c>
      <c r="B17" s="27">
        <v>166.33442528806299</v>
      </c>
      <c r="C17" s="27">
        <v>140.18104174626001</v>
      </c>
    </row>
    <row r="18" spans="1:3" x14ac:dyDescent="0.25">
      <c r="A18" s="27">
        <v>949.92223753513804</v>
      </c>
      <c r="B18" s="27">
        <v>1026.2794456895001</v>
      </c>
      <c r="C18" s="27">
        <v>930.48264760172196</v>
      </c>
    </row>
    <row r="19" spans="1:3" x14ac:dyDescent="0.25">
      <c r="A19" s="27">
        <v>132.98645352584799</v>
      </c>
      <c r="B19" s="27">
        <v>143.67624887155301</v>
      </c>
      <c r="C19" s="27">
        <v>130.264965364933</v>
      </c>
    </row>
    <row r="20" spans="1:3" x14ac:dyDescent="0.25">
      <c r="A20" s="27">
        <v>633.205408500423</v>
      </c>
      <c r="B20" s="27">
        <v>609.36086586702095</v>
      </c>
      <c r="C20" s="27">
        <v>582.15756109097697</v>
      </c>
    </row>
    <row r="21" spans="1:3" x14ac:dyDescent="0.25">
      <c r="A21" s="27">
        <v>135.968522332064</v>
      </c>
      <c r="B21" s="27">
        <v>130.84837145523301</v>
      </c>
      <c r="C21" s="27">
        <v>125.00699185977599</v>
      </c>
    </row>
  </sheetData>
  <mergeCells count="9">
    <mergeCell ref="A1:A2"/>
    <mergeCell ref="K1:M1"/>
    <mergeCell ref="B9:C9"/>
    <mergeCell ref="D9:E9"/>
    <mergeCell ref="F9:G9"/>
    <mergeCell ref="H9:I9"/>
    <mergeCell ref="B1:D1"/>
    <mergeCell ref="E1:G1"/>
    <mergeCell ref="H1:J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99FB7-CBBF-4E30-B2F4-6B53D58161D7}">
  <dimension ref="A1:M22"/>
  <sheetViews>
    <sheetView zoomScaleNormal="100" workbookViewId="0">
      <selection activeCell="H9" sqref="H9"/>
    </sheetView>
  </sheetViews>
  <sheetFormatPr defaultRowHeight="18" x14ac:dyDescent="0.25"/>
  <cols>
    <col min="1" max="16384" width="8.7265625" style="17"/>
  </cols>
  <sheetData>
    <row r="1" spans="1:13" x14ac:dyDescent="0.25">
      <c r="B1" s="34" t="s">
        <v>4</v>
      </c>
      <c r="C1" s="34"/>
      <c r="D1" s="34"/>
      <c r="E1" s="34"/>
      <c r="F1" s="34" t="s">
        <v>11</v>
      </c>
      <c r="G1" s="34"/>
      <c r="H1" s="34"/>
      <c r="I1" s="34"/>
      <c r="K1" s="20"/>
      <c r="L1" s="20"/>
    </row>
    <row r="2" spans="1:13" x14ac:dyDescent="0.25">
      <c r="B2" s="17" t="s">
        <v>71</v>
      </c>
      <c r="C2" s="17" t="s">
        <v>72</v>
      </c>
      <c r="D2" s="17" t="s">
        <v>69</v>
      </c>
      <c r="E2" s="17" t="s">
        <v>70</v>
      </c>
      <c r="F2" s="17" t="s">
        <v>71</v>
      </c>
      <c r="G2" s="17" t="s">
        <v>72</v>
      </c>
      <c r="H2" s="17" t="s">
        <v>69</v>
      </c>
      <c r="I2" s="17" t="s">
        <v>70</v>
      </c>
      <c r="J2" s="20" t="s">
        <v>43</v>
      </c>
    </row>
    <row r="3" spans="1:13" x14ac:dyDescent="0.25">
      <c r="A3" s="17" t="s">
        <v>46</v>
      </c>
      <c r="B3" s="17">
        <v>1186.6235471080499</v>
      </c>
      <c r="C3" s="17">
        <v>1133.3481790713699</v>
      </c>
      <c r="D3" s="17">
        <v>1138.43132256528</v>
      </c>
      <c r="E3" s="17">
        <v>10.258226521758401</v>
      </c>
      <c r="F3" s="19">
        <v>1120.95526967618</v>
      </c>
      <c r="G3" s="19">
        <v>1095.7437925638601</v>
      </c>
      <c r="H3" s="19">
        <v>1100.3193619902399</v>
      </c>
      <c r="I3" s="19">
        <v>9.4440018629818798</v>
      </c>
      <c r="J3" s="17">
        <f>(D3-H3)/D3</f>
        <v>3.3477610655652537E-2</v>
      </c>
    </row>
    <row r="4" spans="1:13" x14ac:dyDescent="0.25">
      <c r="A4" s="17" t="s">
        <v>50</v>
      </c>
      <c r="B4" s="17">
        <v>481.23585702129702</v>
      </c>
      <c r="C4" s="17">
        <v>481.23585702129702</v>
      </c>
      <c r="D4" s="17">
        <v>481.23585702129702</v>
      </c>
      <c r="E4" s="17">
        <v>0</v>
      </c>
      <c r="F4" s="19">
        <v>481.23585702129702</v>
      </c>
      <c r="G4" s="19">
        <v>481.23585702129702</v>
      </c>
      <c r="H4" s="19">
        <v>481.23585702129702</v>
      </c>
      <c r="I4" s="19">
        <v>0</v>
      </c>
      <c r="J4" s="17">
        <f>(D4-H4)/D4</f>
        <v>0</v>
      </c>
    </row>
    <row r="5" spans="1:13" x14ac:dyDescent="0.25">
      <c r="A5" s="17" t="s">
        <v>48</v>
      </c>
      <c r="B5" s="17">
        <v>950.93947431917297</v>
      </c>
      <c r="C5" s="17">
        <v>944.95958167177196</v>
      </c>
      <c r="D5" s="17">
        <v>945.15891142668602</v>
      </c>
      <c r="E5" s="17">
        <v>1.0734235811742101</v>
      </c>
      <c r="F5" s="19">
        <v>943.34910186722198</v>
      </c>
      <c r="G5" s="19">
        <v>942.28669097313298</v>
      </c>
      <c r="H5" s="19">
        <v>942.78248272370797</v>
      </c>
      <c r="I5" s="19">
        <v>0.53002367595418098</v>
      </c>
      <c r="J5" s="17">
        <f>(D5-H5)/D5</f>
        <v>2.5143165601548482E-3</v>
      </c>
    </row>
    <row r="6" spans="1:13" x14ac:dyDescent="0.25">
      <c r="A6" s="17" t="s">
        <v>49</v>
      </c>
      <c r="B6" s="17">
        <v>639.59794858052203</v>
      </c>
      <c r="C6" s="17">
        <v>638.87028629529505</v>
      </c>
      <c r="D6" s="17">
        <v>638.91879711431</v>
      </c>
      <c r="E6" s="17">
        <v>0.18151086430659299</v>
      </c>
      <c r="F6" s="19">
        <v>594.43735413118202</v>
      </c>
      <c r="G6" s="19">
        <v>594.43735413118202</v>
      </c>
      <c r="H6" s="19">
        <v>594.43735413118202</v>
      </c>
      <c r="I6" s="19">
        <v>0</v>
      </c>
      <c r="J6" s="17">
        <f>(D6-H6)/D6</f>
        <v>6.96198690413075E-2</v>
      </c>
    </row>
    <row r="15" spans="1:13" x14ac:dyDescent="0.25">
      <c r="M15" s="18"/>
    </row>
    <row r="17" spans="2:9" x14ac:dyDescent="0.25">
      <c r="B17" s="34"/>
      <c r="C17" s="34"/>
      <c r="D17" s="34"/>
      <c r="E17" s="34"/>
      <c r="F17" s="34"/>
      <c r="G17" s="34"/>
      <c r="H17" s="34"/>
      <c r="I17" s="34"/>
    </row>
    <row r="21" spans="2:9" x14ac:dyDescent="0.25">
      <c r="F21" s="19"/>
      <c r="G21" s="19"/>
      <c r="H21" s="19"/>
      <c r="I21" s="19"/>
    </row>
    <row r="22" spans="2:9" x14ac:dyDescent="0.25">
      <c r="F22" s="19"/>
      <c r="G22" s="19"/>
      <c r="H22" s="19"/>
      <c r="I22" s="19"/>
    </row>
  </sheetData>
  <mergeCells count="4">
    <mergeCell ref="B17:E17"/>
    <mergeCell ref="F17:I17"/>
    <mergeCell ref="B1:E1"/>
    <mergeCell ref="F1:I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Sheet1</vt:lpstr>
      <vt:lpstr>充电站选址结果</vt:lpstr>
      <vt:lpstr>对比实验</vt:lpstr>
      <vt:lpstr>参数实验</vt:lpstr>
      <vt:lpstr>消融实验</vt:lpstr>
      <vt:lpstr>不同策略</vt:lpstr>
      <vt:lpstr>30run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2024-06-30T11:48:42Z</dcterms:created>
  <dcterms:modified xsi:type="dcterms:W3CDTF">2025-05-14T23:58:26Z</dcterms:modified>
</cp:coreProperties>
</file>